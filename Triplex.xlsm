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rt\Dropbox\1 - Gamma Convexity\Triplex\"/>
    </mc:Choice>
  </mc:AlternateContent>
  <bookViews>
    <workbookView xWindow="0" yWindow="0" windowWidth="8850" windowHeight="3210"/>
  </bookViews>
  <sheets>
    <sheet name="Sheet1" sheetId="1" r:id="rId1"/>
    <sheet name="Sheet2" sheetId="2" r:id="rId2"/>
    <sheet name="Sheet3" sheetId="3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convertToRT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DTE">
          <x14:argumentDescriptions count="1">
            <x14:argumentDescription index="0">Positional argument 1</x14:argumentDescription>
          </x14:argumentDescriptions>
        </x14:definedName>
        <x14:definedName name="getExp">
          <x14:argumentDescriptions count="1">
            <x14:argumentDescription index="0">Positional argument 1</x14:argumentDescription>
          </x14:argumentDescriptions>
        </x14:definedName>
        <x14:definedName name="getLongStrike">
          <x14:argumentDescriptions count="1">
            <x14:argumentDescription index="0">Positional argument 1</x14:argumentDescription>
          </x14:argumentDescriptions>
        </x14:definedName>
        <x14:definedName name="getLongStrikeTicker">
          <x14:argumentDescriptions count="1">
            <x14:argumentDescription index="0">Positional argument 1</x14:argumentDescription>
          </x14:argumentDescriptions>
        </x14:definedName>
        <x14:definedName name="getShortStrike">
          <x14:argumentDescriptions count="1">
            <x14:argumentDescription index="0">Positional argument 1</x14:argumentDescription>
          </x14:argumentDescriptions>
        </x14:definedName>
        <x14:definedName name="getShortStrikeTicker">
          <x14:argumentDescriptions count="1">
            <x14:argumentDescription index="0">Positional argument 1</x14:argumentDescription>
          </x14:argumentDescriptions>
        </x14:definedName>
        <x14:definedName name="getSid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34" i="1" s="1"/>
  <c r="D9" i="3"/>
  <c r="C31" i="1"/>
  <c r="B34" i="1"/>
  <c r="C3" i="1"/>
  <c r="C20" i="1"/>
  <c r="C4" i="1"/>
  <c r="C8" i="1"/>
  <c r="C5" i="1"/>
  <c r="C18" i="1"/>
  <c r="C6" i="1"/>
  <c r="C7" i="1"/>
  <c r="C19" i="1"/>
  <c r="C22" i="1" l="1"/>
  <c r="C24" i="1" s="1"/>
  <c r="C23" i="1"/>
  <c r="C14" i="1"/>
  <c r="C15" i="1"/>
  <c r="C27" i="1"/>
  <c r="C29" i="1" s="1"/>
  <c r="C33" i="1"/>
  <c r="C13" i="1"/>
  <c r="C11" i="1"/>
  <c r="C12" i="1"/>
  <c r="B30" i="1"/>
  <c r="B31" i="1"/>
  <c r="Q5" i="3"/>
  <c r="B4" i="1"/>
  <c r="B5" i="1"/>
  <c r="B6" i="1"/>
  <c r="B41" i="1"/>
  <c r="B42" i="1" s="1"/>
  <c r="B3" i="1"/>
  <c r="B18" i="1"/>
  <c r="B8" i="1"/>
  <c r="B20" i="1"/>
  <c r="B7" i="1"/>
  <c r="B19" i="1"/>
  <c r="C16" i="1" l="1"/>
  <c r="B23" i="1"/>
  <c r="B27" i="1" s="1"/>
  <c r="B29" i="1" s="1"/>
  <c r="B22" i="1"/>
  <c r="B33" i="1"/>
  <c r="B13" i="1"/>
  <c r="B14" i="1"/>
  <c r="B15" i="1"/>
  <c r="B11" i="1"/>
  <c r="B12" i="1"/>
  <c r="B24" i="1" l="1"/>
  <c r="B16" i="1"/>
  <c r="B4" i="2" l="1"/>
  <c r="D4" i="2" s="1"/>
  <c r="E4" i="2" s="1"/>
  <c r="F4" i="2" s="1"/>
  <c r="D3" i="2"/>
  <c r="E3" i="2" s="1"/>
  <c r="F3" i="2" s="1"/>
  <c r="B5" i="2" l="1"/>
  <c r="B6" i="2" l="1"/>
  <c r="D5" i="2"/>
  <c r="E5" i="2" s="1"/>
  <c r="F5" i="2" s="1"/>
  <c r="B7" i="2" l="1"/>
  <c r="D6" i="2"/>
  <c r="E6" i="2" s="1"/>
  <c r="F6" i="2" s="1"/>
  <c r="B8" i="2" l="1"/>
  <c r="D7" i="2"/>
  <c r="E7" i="2" s="1"/>
  <c r="F7" i="2" s="1"/>
  <c r="B9" i="2" l="1"/>
  <c r="D8" i="2"/>
  <c r="E8" i="2" s="1"/>
  <c r="F8" i="2" s="1"/>
  <c r="B10" i="2" l="1"/>
  <c r="D9" i="2"/>
  <c r="E9" i="2" s="1"/>
  <c r="F9" i="2" s="1"/>
  <c r="B11" i="2" l="1"/>
  <c r="D10" i="2"/>
  <c r="E10" i="2" s="1"/>
  <c r="F10" i="2" s="1"/>
  <c r="B12" i="2" l="1"/>
  <c r="D11" i="2"/>
  <c r="E11" i="2" s="1"/>
  <c r="F11" i="2" s="1"/>
  <c r="B13" i="2" l="1"/>
  <c r="D12" i="2"/>
  <c r="E12" i="2" s="1"/>
  <c r="F12" i="2" s="1"/>
  <c r="B14" i="2" l="1"/>
  <c r="D13" i="2"/>
  <c r="E13" i="2" s="1"/>
  <c r="F13" i="2" s="1"/>
  <c r="B15" i="2" l="1"/>
  <c r="D14" i="2"/>
  <c r="E14" i="2" s="1"/>
  <c r="F14" i="2" s="1"/>
  <c r="B16" i="2" l="1"/>
  <c r="D15" i="2"/>
  <c r="E15" i="2" s="1"/>
  <c r="F15" i="2" s="1"/>
  <c r="B17" i="2" l="1"/>
  <c r="D16" i="2"/>
  <c r="E16" i="2" s="1"/>
  <c r="F16" i="2" s="1"/>
  <c r="B18" i="2" l="1"/>
  <c r="D17" i="2"/>
  <c r="E17" i="2" s="1"/>
  <c r="F17" i="2" s="1"/>
  <c r="B19" i="2" l="1"/>
  <c r="D18" i="2"/>
  <c r="E18" i="2" s="1"/>
  <c r="F18" i="2" s="1"/>
  <c r="B20" i="2" l="1"/>
  <c r="D19" i="2"/>
  <c r="E19" i="2" s="1"/>
  <c r="F19" i="2" s="1"/>
  <c r="B21" i="2" l="1"/>
  <c r="D20" i="2"/>
  <c r="E20" i="2" s="1"/>
  <c r="F20" i="2" s="1"/>
  <c r="B22" i="2" l="1"/>
  <c r="D21" i="2"/>
  <c r="E21" i="2" s="1"/>
  <c r="F21" i="2" s="1"/>
  <c r="B23" i="2" l="1"/>
  <c r="D22" i="2"/>
  <c r="E22" i="2" s="1"/>
  <c r="F22" i="2" s="1"/>
  <c r="B24" i="2" l="1"/>
  <c r="D23" i="2"/>
  <c r="E23" i="2" s="1"/>
  <c r="F23" i="2" s="1"/>
  <c r="B25" i="2" l="1"/>
  <c r="D24" i="2"/>
  <c r="E24" i="2" s="1"/>
  <c r="F24" i="2" s="1"/>
  <c r="B26" i="2" l="1"/>
  <c r="D25" i="2"/>
  <c r="E25" i="2" s="1"/>
  <c r="F25" i="2" s="1"/>
  <c r="B27" i="2" l="1"/>
  <c r="D26" i="2"/>
  <c r="E26" i="2" s="1"/>
  <c r="F26" i="2" s="1"/>
  <c r="B28" i="2" l="1"/>
  <c r="D27" i="2"/>
  <c r="E27" i="2" s="1"/>
  <c r="F27" i="2" s="1"/>
  <c r="B29" i="2" l="1"/>
  <c r="D28" i="2"/>
  <c r="E28" i="2" s="1"/>
  <c r="F28" i="2" s="1"/>
  <c r="B30" i="2" l="1"/>
  <c r="D29" i="2"/>
  <c r="E29" i="2" s="1"/>
  <c r="F29" i="2" s="1"/>
  <c r="B31" i="2" l="1"/>
  <c r="D30" i="2"/>
  <c r="E30" i="2" s="1"/>
  <c r="F30" i="2" s="1"/>
  <c r="B32" i="2" l="1"/>
  <c r="D31" i="2"/>
  <c r="E31" i="2" s="1"/>
  <c r="F31" i="2" s="1"/>
  <c r="B33" i="2" l="1"/>
  <c r="D32" i="2"/>
  <c r="E32" i="2" s="1"/>
  <c r="F32" i="2" s="1"/>
  <c r="B34" i="2" l="1"/>
  <c r="D33" i="2"/>
  <c r="E33" i="2" s="1"/>
  <c r="F33" i="2" s="1"/>
  <c r="B35" i="2" l="1"/>
  <c r="D34" i="2"/>
  <c r="E34" i="2" s="1"/>
  <c r="F34" i="2" s="1"/>
  <c r="B36" i="2" l="1"/>
  <c r="D35" i="2"/>
  <c r="E35" i="2" s="1"/>
  <c r="F35" i="2" s="1"/>
  <c r="B37" i="2" l="1"/>
  <c r="D36" i="2"/>
  <c r="E36" i="2" s="1"/>
  <c r="F36" i="2" s="1"/>
  <c r="B38" i="2" l="1"/>
  <c r="D37" i="2"/>
  <c r="E37" i="2" s="1"/>
  <c r="F37" i="2" s="1"/>
  <c r="B39" i="2" l="1"/>
  <c r="D38" i="2"/>
  <c r="E38" i="2" s="1"/>
  <c r="F38" i="2" s="1"/>
  <c r="B40" i="2" l="1"/>
  <c r="D39" i="2"/>
  <c r="E39" i="2" s="1"/>
  <c r="F39" i="2" s="1"/>
  <c r="B41" i="2" l="1"/>
  <c r="D41" i="2" s="1"/>
  <c r="E41" i="2" s="1"/>
  <c r="F41" i="2" s="1"/>
  <c r="D40" i="2"/>
  <c r="E40" i="2" s="1"/>
  <c r="F40" i="2" s="1"/>
</calcChain>
</file>

<file path=xl/sharedStrings.xml><?xml version="1.0" encoding="utf-8"?>
<sst xmlns="http://schemas.openxmlformats.org/spreadsheetml/2006/main" count="101" uniqueCount="83">
  <si>
    <t>Long Strike</t>
  </si>
  <si>
    <t>Short Strike Delta</t>
  </si>
  <si>
    <t>Long Strike Delta</t>
  </si>
  <si>
    <t>Spread Delta</t>
  </si>
  <si>
    <t>Red: 255, 143, 143</t>
  </si>
  <si>
    <t>Green: 159, 255, 168</t>
  </si>
  <si>
    <t>Implied % Move</t>
  </si>
  <si>
    <t>Implied Move</t>
  </si>
  <si>
    <t>OTM %</t>
  </si>
  <si>
    <t>OTM</t>
  </si>
  <si>
    <t>Side</t>
  </si>
  <si>
    <t>Short Strike</t>
  </si>
  <si>
    <t>Ticker</t>
  </si>
  <si>
    <t>Expiration</t>
  </si>
  <si>
    <t>DTE</t>
  </si>
  <si>
    <t>Spot</t>
  </si>
  <si>
    <t>Credit Collected</t>
  </si>
  <si>
    <t>Conditions to make a Trade:</t>
  </si>
  <si>
    <t>EV is close to positive or positive</t>
  </si>
  <si>
    <t>Net Credit is .15 minimum for $100 collateral</t>
  </si>
  <si>
    <t>price is touching or near touching 2std. Devitation</t>
  </si>
  <si>
    <t>If there is a large, upcoming macro event, guage how over/underpriced the implied move is</t>
  </si>
  <si>
    <t>Conditionals:</t>
  </si>
  <si>
    <t>Implied move % is similar to OTM%</t>
  </si>
  <si>
    <t>Short Strike Delta is not greater than .23</t>
  </si>
  <si>
    <t>Technically overextended</t>
  </si>
  <si>
    <t>^ this most likely requires some kind of manual intervention</t>
  </si>
  <si>
    <t>local macro positioning - &gt; can a rally or selloff go further?</t>
  </si>
  <si>
    <t>Regular:</t>
  </si>
  <si>
    <t>Option must be 1 DTE (or 3 DTE for Monday exp)</t>
  </si>
  <si>
    <t>VIX between 20-30</t>
  </si>
  <si>
    <t>Implied Upper Bound</t>
  </si>
  <si>
    <t>Implied Lower Bound</t>
  </si>
  <si>
    <t>Implied-OTM Diff%</t>
  </si>
  <si>
    <t>Spread Bid</t>
  </si>
  <si>
    <t>Spread Ask</t>
  </si>
  <si>
    <t>1 Spread Max Gain</t>
  </si>
  <si>
    <t>1 Spread Max Loss</t>
  </si>
  <si>
    <t>1 Spread EV</t>
  </si>
  <si>
    <t>Lot Size</t>
  </si>
  <si>
    <t>Lot Size EV</t>
  </si>
  <si>
    <t>PnL</t>
  </si>
  <si>
    <t>Max Gain</t>
  </si>
  <si>
    <t>Max Loss</t>
  </si>
  <si>
    <t>principal</t>
  </si>
  <si>
    <t>factor</t>
  </si>
  <si>
    <t>min # of 1 point spreads (.15)</t>
  </si>
  <si>
    <t>Collateral at Risk</t>
  </si>
  <si>
    <t>Collateral % of P</t>
  </si>
  <si>
    <t>1 Spread Credit EV</t>
  </si>
  <si>
    <t>STOP LOSS (spread)</t>
  </si>
  <si>
    <t>Open Date</t>
  </si>
  <si>
    <t>Close Date</t>
  </si>
  <si>
    <t>yes</t>
  </si>
  <si>
    <t>2sd VP</t>
  </si>
  <si>
    <t>2sd VWAP</t>
  </si>
  <si>
    <t>SS Delta</t>
  </si>
  <si>
    <t>Imp Move Diff</t>
  </si>
  <si>
    <t>Momentum</t>
  </si>
  <si>
    <t>Credit</t>
  </si>
  <si>
    <t>1m overbought rsi divergence</t>
  </si>
  <si>
    <t>ID Range</t>
  </si>
  <si>
    <t>EV</t>
  </si>
  <si>
    <t>4h MACD crossover</t>
  </si>
  <si>
    <t>VIX % Chg</t>
  </si>
  <si>
    <t>VIX Spot</t>
  </si>
  <si>
    <t>Running PnL</t>
  </si>
  <si>
    <t>12:26pm</t>
  </si>
  <si>
    <t>Time</t>
  </si>
  <si>
    <t>consolidating</t>
  </si>
  <si>
    <t>9:56am</t>
  </si>
  <si>
    <t>3:39pm</t>
  </si>
  <si>
    <t>consolidating/overextended</t>
  </si>
  <si>
    <t>12:59pm</t>
  </si>
  <si>
    <t>11:33am</t>
  </si>
  <si>
    <t>oversold 1m</t>
  </si>
  <si>
    <t>.SPY210219P384-.SPY210219P383</t>
  </si>
  <si>
    <t>10:24am</t>
  </si>
  <si>
    <t>no</t>
  </si>
  <si>
    <t>1:28am</t>
  </si>
  <si>
    <t>ob 1m diverge</t>
  </si>
  <si>
    <t>.SPY210219C394-.SPY210219C395</t>
  </si>
  <si>
    <t>3:16pm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</si>
</sst>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/d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10" fontId="0" fillId="0" borderId="0" xfId="1" applyNumberFormat="1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Font="1"/>
    <xf numFmtId="0" fontId="3" fillId="0" borderId="1" xfId="0" applyFont="1" applyBorder="1"/>
    <xf numFmtId="0" fontId="4" fillId="0" borderId="2" xfId="0" applyFont="1" applyBorder="1"/>
    <xf numFmtId="8" fontId="4" fillId="0" borderId="2" xfId="0" applyNumberFormat="1" applyFont="1" applyBorder="1"/>
    <xf numFmtId="9" fontId="4" fillId="0" borderId="2" xfId="0" applyNumberFormat="1" applyFont="1" applyBorder="1"/>
    <xf numFmtId="1" fontId="4" fillId="0" borderId="2" xfId="0" applyNumberFormat="1" applyFont="1" applyBorder="1"/>
    <xf numFmtId="0" fontId="3" fillId="0" borderId="2" xfId="0" applyFont="1" applyBorder="1"/>
    <xf numFmtId="1" fontId="3" fillId="0" borderId="2" xfId="0" applyNumberFormat="1" applyFont="1" applyBorder="1"/>
    <xf numFmtId="8" fontId="3" fillId="0" borderId="2" xfId="0" applyNumberFormat="1" applyFont="1" applyBorder="1"/>
    <xf numFmtId="9" fontId="3" fillId="0" borderId="2" xfId="0" applyNumberFormat="1" applyFont="1" applyBorder="1"/>
    <xf numFmtId="164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wrapText="1"/>
    </xf>
    <xf numFmtId="2" fontId="3" fillId="0" borderId="0" xfId="0" applyNumberFormat="1" applyFont="1"/>
    <xf numFmtId="2" fontId="3" fillId="0" borderId="0" xfId="2" applyNumberFormat="1" applyFont="1"/>
    <xf numFmtId="164" fontId="4" fillId="0" borderId="0" xfId="0" applyNumberFormat="1" applyFont="1"/>
    <xf numFmtId="0" fontId="4" fillId="0" borderId="0" xfId="0" applyFont="1"/>
    <xf numFmtId="0" fontId="4" fillId="0" borderId="0" xfId="0" quotePrefix="1" applyFont="1" applyAlignment="1">
      <alignment wrapText="1"/>
    </xf>
    <xf numFmtId="0" fontId="4" fillId="0" borderId="0" xfId="0" applyFont="1" applyAlignment="1">
      <alignment wrapText="1"/>
    </xf>
    <xf numFmtId="2" fontId="4" fillId="0" borderId="0" xfId="0" applyNumberFormat="1" applyFont="1"/>
    <xf numFmtId="2" fontId="4" fillId="0" borderId="0" xfId="2" applyNumberFormat="1" applyFont="1"/>
    <xf numFmtId="0" fontId="0" fillId="2" borderId="0" xfId="0" applyFill="1"/>
    <xf numFmtId="10" fontId="0" fillId="2" borderId="0" xfId="0" applyNumberFormat="1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" fontId="4" fillId="0" borderId="0" xfId="2" applyNumberFormat="1" applyFont="1"/>
    <xf numFmtId="0" fontId="4" fillId="0" borderId="0" xfId="0" applyNumberFormat="1" applyFont="1"/>
    <xf numFmtId="20" fontId="4" fillId="0" borderId="0" xfId="0" applyNumberFormat="1" applyFont="1"/>
    <xf numFmtId="2" fontId="0" fillId="2" borderId="0" xfId="0" applyNumberFormat="1" applyFill="1"/>
    <xf numFmtId="0" fontId="0" fillId="0" borderId="0" xfId="0" applyFill="1" applyAlignment="1">
      <alignment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FFFA8"/>
      <color rgb="FFFF8F8F"/>
      <color rgb="FF9BFFAE"/>
      <color rgb="FFFF6969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-0.09</v>
        <stp/>
        <stp>DELTA</stp>
        <stp>.SPY210219P384</stp>
        <tr r="B18" s="1"/>
      </tp>
      <tp>
        <v>-7.0000000000000007E-2</v>
        <stp/>
        <stp>DELTA</stp>
        <stp>.SPY210219P383</stp>
        <tr r="B19" s="1"/>
      </tp>
      <tp>
        <v>0.14000000000000001</v>
        <stp/>
        <stp>DELTA</stp>
        <stp>.SPY210219C394</stp>
        <tr r="C18" s="1"/>
      </tp>
      <tp>
        <v>0.08</v>
        <stp/>
        <stp>DELTA</stp>
        <stp>.SPY210219C395</stp>
        <tr r="C19" s="1"/>
      </tp>
      <tp>
        <v>0.06</v>
        <stp/>
        <stp>ask</stp>
        <stp>.SPY210219P384-.SPY210219P383</stp>
        <tr r="B8" s="1"/>
      </tp>
      <tp>
        <v>0.03</v>
        <stp/>
        <stp>bid</stp>
        <stp>.SPY210219P384-.SPY210219P383</stp>
        <tr r="B7" s="1"/>
      </tp>
      <tp>
        <v>0.11</v>
        <stp/>
        <stp>ask</stp>
        <stp>.SPY210219C394-.SPY210219C395</stp>
        <tr r="C8" s="1"/>
      </tp>
      <tp>
        <v>0.09</v>
        <stp/>
        <stp>bid</stp>
        <stp>.SPY210219C394-.SPY210219C395</stp>
        <tr r="C7" s="1"/>
      </tp>
      <tp>
        <v>390.72</v>
        <stp/>
        <stp>last</stp>
        <stp>SPY</stp>
        <tr r="B3" s="1"/>
        <tr r="C3" s="1"/>
      </tp>
      <tp>
        <v>0.06</v>
        <stp/>
        <stp>DELTA</stp>
        <stp>.SPY210219C394-.SPY210219C395</stp>
        <tr r="C20" s="1"/>
      </tp>
      <tp>
        <v>-0.02</v>
        <stp/>
        <stp>DELTA</stp>
        <stp>.SPY210219P384-.SPY210219P383</stp>
        <tr r="B2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3"/>
  <sheetViews>
    <sheetView tabSelected="1" zoomScaleNormal="100" workbookViewId="0">
      <selection activeCell="E12" sqref="E12"/>
    </sheetView>
  </sheetViews>
  <sheetFormatPr defaultRowHeight="15" x14ac:dyDescent="0.25"/>
  <cols>
    <col min="1" max="1" width="20.42578125" customWidth="1"/>
    <col min="2" max="2" width="19.5703125" customWidth="1"/>
    <col min="3" max="3" width="16.85546875" customWidth="1"/>
    <col min="4" max="4" width="16.42578125" customWidth="1"/>
    <col min="5" max="5" width="20.42578125" customWidth="1"/>
    <col min="6" max="6" width="14" bestFit="1" customWidth="1"/>
    <col min="7" max="7" width="12.28515625" customWidth="1"/>
    <col min="8" max="10" width="9.42578125" bestFit="1" customWidth="1"/>
    <col min="12" max="12" width="9.28515625" bestFit="1" customWidth="1"/>
    <col min="15" max="16" width="9.28515625" bestFit="1" customWidth="1"/>
    <col min="18" max="18" width="9.28515625" bestFit="1" customWidth="1"/>
    <col min="22" max="22" width="9.28515625" bestFit="1" customWidth="1"/>
  </cols>
  <sheetData>
    <row r="1" spans="1:3" s="2" customFormat="1" ht="39.75" customHeight="1" x14ac:dyDescent="0.25">
      <c r="A1" s="4" t="s">
        <v>12</v>
      </c>
      <c r="B1" s="35" t="s">
        <v>76</v>
      </c>
      <c r="C1" s="2" t="s">
        <v>81</v>
      </c>
    </row>
    <row r="3" spans="1:3" x14ac:dyDescent="0.25">
      <c r="A3" s="3" t="s">
        <v>15</v>
      </c>
      <c r="B3">
        <f xml:space="preserve"> RTD("tos.rtd", , "last","SPY")</f>
        <v>390.72</v>
      </c>
      <c r="C3">
        <f xml:space="preserve"> RTD("tos.rtd", , "last","SPY")</f>
        <v>390.72</v>
      </c>
    </row>
    <row r="4" spans="1:3" x14ac:dyDescent="0.25">
      <c r="A4" s="3" t="s">
        <v>11</v>
      </c>
      <c r="B4" t="str">
        <f>getShortStrike(B1)</f>
        <v>384</v>
      </c>
      <c r="C4" t="str">
        <f>getShortStrike(C1)</f>
        <v>394</v>
      </c>
    </row>
    <row r="5" spans="1:3" x14ac:dyDescent="0.25">
      <c r="A5" s="3" t="s">
        <v>0</v>
      </c>
      <c r="B5" t="str">
        <f>getLongStrike(B1)</f>
        <v>383</v>
      </c>
      <c r="C5" t="str">
        <f>getLongStrike(C1)</f>
        <v>395</v>
      </c>
    </row>
    <row r="6" spans="1:3" x14ac:dyDescent="0.25">
      <c r="A6" s="3" t="s">
        <v>10</v>
      </c>
      <c r="B6" t="str">
        <f>getSide(B1)</f>
        <v>Put</v>
      </c>
      <c r="C6" t="str">
        <f>getSide(C1)</f>
        <v>Call</v>
      </c>
    </row>
    <row r="7" spans="1:3" x14ac:dyDescent="0.25">
      <c r="A7" s="3" t="s">
        <v>34</v>
      </c>
      <c r="B7">
        <f>RTD("tos.rtd", , "bid", B1)</f>
        <v>0.03</v>
      </c>
      <c r="C7">
        <f>RTD("tos.rtd", , "bid", C1)</f>
        <v>0.09</v>
      </c>
    </row>
    <row r="8" spans="1:3" x14ac:dyDescent="0.25">
      <c r="A8" s="3" t="s">
        <v>35</v>
      </c>
      <c r="B8">
        <f>RTD("tos.rtd", , "ask", B1)</f>
        <v>0.06</v>
      </c>
      <c r="C8">
        <f>RTD("tos.rtd", , "ask", C1)</f>
        <v>0.11</v>
      </c>
    </row>
    <row r="10" spans="1:3" x14ac:dyDescent="0.25">
      <c r="A10" s="3" t="s">
        <v>7</v>
      </c>
      <c r="B10" s="29">
        <v>3.2290000000000001</v>
      </c>
      <c r="C10" s="29">
        <v>3.2290000000000001</v>
      </c>
    </row>
    <row r="11" spans="1:3" x14ac:dyDescent="0.25">
      <c r="A11" s="3" t="s">
        <v>6</v>
      </c>
      <c r="B11" s="1">
        <f>B10/B3</f>
        <v>8.2642301392301387E-3</v>
      </c>
      <c r="C11" s="1">
        <f>C10/C3</f>
        <v>8.2642301392301387E-3</v>
      </c>
    </row>
    <row r="12" spans="1:3" x14ac:dyDescent="0.25">
      <c r="A12" s="3" t="s">
        <v>31</v>
      </c>
      <c r="B12">
        <f>B3+B10</f>
        <v>393.94900000000001</v>
      </c>
      <c r="C12">
        <f>C3+C10</f>
        <v>393.94900000000001</v>
      </c>
    </row>
    <row r="13" spans="1:3" x14ac:dyDescent="0.25">
      <c r="A13" s="3" t="s">
        <v>32</v>
      </c>
      <c r="B13">
        <f>B3-B10</f>
        <v>387.49100000000004</v>
      </c>
      <c r="C13">
        <f>C3-C10</f>
        <v>387.49100000000004</v>
      </c>
    </row>
    <row r="14" spans="1:3" x14ac:dyDescent="0.25">
      <c r="A14" s="3" t="s">
        <v>9</v>
      </c>
      <c r="B14">
        <f>IF(B6="Call",B4-B3,B3-B4)</f>
        <v>6.7200000000000273</v>
      </c>
      <c r="C14">
        <f>IF(C6="Call",C4-C3,C3-C4)</f>
        <v>3.2799999999999727</v>
      </c>
    </row>
    <row r="15" spans="1:3" x14ac:dyDescent="0.25">
      <c r="A15" s="3" t="s">
        <v>8</v>
      </c>
      <c r="B15" s="1">
        <f>IF(B6="Put",1-(B4/B3),(B4/B3)-1)</f>
        <v>1.7199017199017286E-2</v>
      </c>
      <c r="C15" s="1">
        <f>IF(C6="Put",1-(C4/C3),(C4/C3)-1)</f>
        <v>8.3947583947583393E-3</v>
      </c>
    </row>
    <row r="16" spans="1:3" x14ac:dyDescent="0.25">
      <c r="A16" s="3" t="s">
        <v>33</v>
      </c>
      <c r="B16" s="27">
        <f>B15-B11</f>
        <v>8.934787059787147E-3</v>
      </c>
      <c r="C16" s="27">
        <f>C15-C11</f>
        <v>1.3052825552820058E-4</v>
      </c>
    </row>
    <row r="18" spans="1:3" x14ac:dyDescent="0.25">
      <c r="A18" s="3" t="s">
        <v>1</v>
      </c>
      <c r="B18" s="34">
        <f>RTD("tos.rtd",,"DELTA",getShortStrikeTicker(B1))</f>
        <v>-0.09</v>
      </c>
      <c r="C18" s="34">
        <f>RTD("tos.rtd",,"DELTA",getShortStrikeTicker(C1))</f>
        <v>0.14000000000000001</v>
      </c>
    </row>
    <row r="19" spans="1:3" x14ac:dyDescent="0.25">
      <c r="A19" s="3" t="s">
        <v>2</v>
      </c>
      <c r="B19" s="30">
        <f>RTD("tos.rtd",,"DELTA",getLongStrikeTicker(B1))</f>
        <v>-7.0000000000000007E-2</v>
      </c>
      <c r="C19" s="30">
        <f>RTD("tos.rtd",,"DELTA",getLongStrikeTicker(C1))</f>
        <v>0.08</v>
      </c>
    </row>
    <row r="20" spans="1:3" x14ac:dyDescent="0.25">
      <c r="A20" s="3" t="s">
        <v>3</v>
      </c>
      <c r="B20">
        <f>RTD("tos.rtd", , "DELTA", B1)</f>
        <v>-0.02</v>
      </c>
      <c r="C20">
        <f>RTD("tos.rtd", , "DELTA", C1)</f>
        <v>0.06</v>
      </c>
    </row>
    <row r="21" spans="1:3" x14ac:dyDescent="0.25">
      <c r="A21" s="3"/>
    </row>
    <row r="22" spans="1:3" x14ac:dyDescent="0.25">
      <c r="A22" s="3" t="s">
        <v>36</v>
      </c>
      <c r="B22">
        <f>B7*100</f>
        <v>3</v>
      </c>
      <c r="C22">
        <f>C7*100</f>
        <v>9</v>
      </c>
    </row>
    <row r="23" spans="1:3" x14ac:dyDescent="0.25">
      <c r="A23" s="3" t="s">
        <v>37</v>
      </c>
      <c r="B23">
        <f>IF(B6="Call",(B4-B5)*100,(B5-B4)*100)</f>
        <v>-100</v>
      </c>
      <c r="C23">
        <f>IF(C6="Call",(C4-C5)*100,(C5-C4)*100)</f>
        <v>-100</v>
      </c>
    </row>
    <row r="24" spans="1:3" x14ac:dyDescent="0.25">
      <c r="A24" s="3" t="s">
        <v>38</v>
      </c>
      <c r="B24" s="26">
        <f xml:space="preserve"> IF(B6 = "Put",(1+B18)*(B22) + (-B19)*(B23),(1-B18)*(B22) + (B19*B23))</f>
        <v>-4.2700000000000014</v>
      </c>
      <c r="C24" s="26">
        <f xml:space="preserve"> IF(C6 = "Put",(1+C18)*(C22) + (-C19)*(C23),(1-C18)*(C22) + (C19*C23))</f>
        <v>-0.25999999999999979</v>
      </c>
    </row>
    <row r="26" spans="1:3" ht="15.75" x14ac:dyDescent="0.25">
      <c r="A26" s="3" t="s">
        <v>16</v>
      </c>
      <c r="B26">
        <v>15</v>
      </c>
      <c r="C26" s="21">
        <v>15</v>
      </c>
    </row>
    <row r="27" spans="1:3" x14ac:dyDescent="0.25">
      <c r="A27" s="3" t="s">
        <v>49</v>
      </c>
      <c r="B27" s="28">
        <f xml:space="preserve"> IF(B6 = "Put",(1+B18)*(B26) + (-B19)*(B23),(1-B18)*(B26) + (B19*B23))</f>
        <v>6.6499999999999995</v>
      </c>
      <c r="C27" s="28">
        <f xml:space="preserve"> IF(C6 = "Put",(1+C18)*(C26) + (-C19)*(C23),(1-C18)*(C26) + (C19*C23))</f>
        <v>4.9000000000000004</v>
      </c>
    </row>
    <row r="28" spans="1:3" x14ac:dyDescent="0.25">
      <c r="A28" s="3" t="s">
        <v>39</v>
      </c>
      <c r="B28">
        <v>19</v>
      </c>
      <c r="C28">
        <v>23</v>
      </c>
    </row>
    <row r="29" spans="1:3" x14ac:dyDescent="0.25">
      <c r="A29" s="3" t="s">
        <v>40</v>
      </c>
      <c r="B29">
        <f>B27*B26</f>
        <v>99.749999999999986</v>
      </c>
      <c r="C29">
        <f>C27*C26</f>
        <v>73.5</v>
      </c>
    </row>
    <row r="30" spans="1:3" x14ac:dyDescent="0.25">
      <c r="A30" s="3" t="s">
        <v>42</v>
      </c>
      <c r="B30">
        <f>B26*B28</f>
        <v>285</v>
      </c>
      <c r="C30">
        <f>C26*C28</f>
        <v>345</v>
      </c>
    </row>
    <row r="31" spans="1:3" x14ac:dyDescent="0.25">
      <c r="A31" s="3" t="s">
        <v>43</v>
      </c>
      <c r="B31">
        <f>B28*100</f>
        <v>1900</v>
      </c>
      <c r="C31">
        <f>C28*100</f>
        <v>2300</v>
      </c>
    </row>
    <row r="33" spans="1:3" x14ac:dyDescent="0.25">
      <c r="A33" s="3" t="s">
        <v>66</v>
      </c>
      <c r="B33" s="28">
        <f>(B26-(100*B8))*B28</f>
        <v>171</v>
      </c>
      <c r="C33" s="28">
        <f>(C26-(100*C8))*C28</f>
        <v>92</v>
      </c>
    </row>
    <row r="34" spans="1:3" x14ac:dyDescent="0.25">
      <c r="A34" s="3" t="s">
        <v>50</v>
      </c>
      <c r="B34">
        <f>-(B30*2)</f>
        <v>-570</v>
      </c>
      <c r="C34">
        <f>-(C30*2)</f>
        <v>-690</v>
      </c>
    </row>
    <row r="36" spans="1:3" x14ac:dyDescent="0.25">
      <c r="A36" t="s">
        <v>4</v>
      </c>
    </row>
    <row r="37" spans="1:3" x14ac:dyDescent="0.25">
      <c r="A37" t="s">
        <v>5</v>
      </c>
    </row>
    <row r="39" spans="1:3" x14ac:dyDescent="0.25">
      <c r="A39" s="3"/>
    </row>
    <row r="41" spans="1:3" x14ac:dyDescent="0.25">
      <c r="A41" s="3" t="s">
        <v>13</v>
      </c>
      <c r="B41" t="str">
        <f>getExp(#REF!)</f>
        <v>TypeError: 'NoneType' object is not subscriptable
    return '20'+ticker[4:6]+'-'+ticker[6:8]+'-'+ticker[8:10]
  File "c:\users\art\dropbox\1 - gamma convexity\triplex\Triplex.py", line 55, in getExp
    ret = func(*args)
  File "C:\ProgramData\Anaconda3\lib\site-packages\xlwings\udfs.py", line 298, in call_udf
    res = call_udf(script, fname, args, this_workbook, FromVariant(caller))
  File "C:\ProgramData\Anaconda3\lib\site-packages\xlwings\server.py", line 195, in CallUDF
    return func(*args)
  File "C:\ProgramData\Anaconda3\lib\site-packages\win32com\server\policy.py", line 586, in _invokeex_
    return S_OK, -1, self._invokeex_(dispid, lcid, wFlags, args, None, None)
  File "C:\ProgramData\Anaconda3\lib\site-packages\win32com\server\policy.py", line 283, in _invoke_
    return self._invoke_(dispid, lcid, wFlags, args)
  File "C:\ProgramData\Anaconda3\lib\site-packages\win32com\server\policy.py", line 278, in _Invoke_</v>
      </c>
    </row>
    <row r="42" spans="1:3" x14ac:dyDescent="0.25">
      <c r="A42" s="3" t="s">
        <v>14</v>
      </c>
      <c r="B42" t="str">
        <f>getDTE(B41)</f>
        <v>ValueError: invalid literal for int() with base 10: 'Type'
    exp = date(int(expir[0:4]),int(expir[5:7]),int(expir[8:]))
  File "c:\users\art\dropbox\1 - gamma convexity\triplex\Triplex.py", line 48, in getDTE
    ret = func(*args)
  File "C:\ProgramData\Anaconda3\lib\site-packages\xlwings\udfs.py", line 298, in call_udf
    res = call_udf(script, fname, args, this_workbook, FromVariant(caller))
  File "C:\ProgramData\Anaconda3\lib\site-packages\xlwings\server.py", line 195, in CallUDF
    return func(*args)
  File "C:\ProgramData\Anaconda3\lib\site-packages\win32com\server\policy.py", line 586, in _invokeex_
    return S_OK, -1, self._invokeex_(dispid, lcid, wFlags, args, None, None)
  File "C:\ProgramData\Anaconda3\lib\site-packages\win32com\server\policy.py", line 283, in _invoke_
    return self._invoke_(dispid, lcid, wFlags, args)
  File "C:\ProgramData\Anaconda3\lib\site-packages\win32com\server\policy.py", line 278, in _Invoke_</v>
      </c>
    </row>
    <row r="47" spans="1:3" x14ac:dyDescent="0.25">
      <c r="A47" s="3" t="s">
        <v>17</v>
      </c>
    </row>
    <row r="48" spans="1:3" x14ac:dyDescent="0.25">
      <c r="A48" t="s">
        <v>18</v>
      </c>
    </row>
    <row r="49" spans="1:1" x14ac:dyDescent="0.25">
      <c r="A49" t="s">
        <v>19</v>
      </c>
    </row>
    <row r="50" spans="1:1" x14ac:dyDescent="0.25">
      <c r="A50" t="s">
        <v>20</v>
      </c>
    </row>
    <row r="51" spans="1:1" x14ac:dyDescent="0.25">
      <c r="A51" t="s">
        <v>23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27</v>
      </c>
    </row>
    <row r="55" spans="1:1" x14ac:dyDescent="0.25">
      <c r="A55" t="s">
        <v>30</v>
      </c>
    </row>
    <row r="57" spans="1:1" x14ac:dyDescent="0.25">
      <c r="A57" s="3" t="s">
        <v>28</v>
      </c>
    </row>
    <row r="58" spans="1:1" x14ac:dyDescent="0.25">
      <c r="A58" s="5" t="s">
        <v>29</v>
      </c>
    </row>
    <row r="61" spans="1:1" x14ac:dyDescent="0.25">
      <c r="A61" s="3" t="s">
        <v>22</v>
      </c>
    </row>
    <row r="62" spans="1:1" x14ac:dyDescent="0.25">
      <c r="A62" t="s">
        <v>21</v>
      </c>
    </row>
    <row r="63" spans="1:1" x14ac:dyDescent="0.25">
      <c r="A63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1"/>
  <sheetViews>
    <sheetView zoomScale="130" zoomScaleNormal="130" workbookViewId="0">
      <selection activeCell="D14" sqref="D14"/>
    </sheetView>
  </sheetViews>
  <sheetFormatPr defaultRowHeight="15" x14ac:dyDescent="0.25"/>
  <cols>
    <col min="4" max="5" width="30.28515625" customWidth="1"/>
    <col min="6" max="6" width="19.7109375" customWidth="1"/>
  </cols>
  <sheetData>
    <row r="1" spans="2:6" ht="15.75" thickBot="1" x14ac:dyDescent="0.3"/>
    <row r="2" spans="2:6" ht="16.5" thickBot="1" x14ac:dyDescent="0.3">
      <c r="B2" s="6" t="s">
        <v>44</v>
      </c>
      <c r="C2" s="6" t="s">
        <v>45</v>
      </c>
      <c r="D2" s="6" t="s">
        <v>46</v>
      </c>
      <c r="E2" s="6" t="s">
        <v>47</v>
      </c>
      <c r="F2" s="6" t="s">
        <v>48</v>
      </c>
    </row>
    <row r="3" spans="2:6" ht="15.75" x14ac:dyDescent="0.25">
      <c r="B3" s="7">
        <v>1000</v>
      </c>
      <c r="C3" s="7">
        <v>1.1000000000000001</v>
      </c>
      <c r="D3" s="10">
        <f>((B3*C3)-B3)/15</f>
        <v>6.666666666666667</v>
      </c>
      <c r="E3" s="8">
        <f>CEILING(D3*100,100)</f>
        <v>700</v>
      </c>
      <c r="F3" s="9">
        <f>E3/B3</f>
        <v>0.7</v>
      </c>
    </row>
    <row r="4" spans="2:6" ht="15.75" x14ac:dyDescent="0.25">
      <c r="B4" s="7">
        <f>B3*1.1</f>
        <v>1100</v>
      </c>
      <c r="C4" s="7">
        <v>1.1000000000000001</v>
      </c>
      <c r="D4" s="10">
        <f>((B4*C4)-B4)/15</f>
        <v>7.333333333333333</v>
      </c>
      <c r="E4" s="8">
        <f t="shared" ref="E4:E41" si="0">CEILING(D4*100,100)</f>
        <v>800</v>
      </c>
      <c r="F4" s="9">
        <f t="shared" ref="F4:F41" si="1">E4/B4</f>
        <v>0.72727272727272729</v>
      </c>
    </row>
    <row r="5" spans="2:6" ht="15.75" x14ac:dyDescent="0.25">
      <c r="B5" s="7">
        <f t="shared" ref="B5:B24" si="2">B4*1.1</f>
        <v>1210</v>
      </c>
      <c r="C5">
        <v>1.1000000000000001</v>
      </c>
      <c r="D5" s="10">
        <f>((B5*C5)-B5)/15</f>
        <v>8.0666666666666664</v>
      </c>
      <c r="E5" s="8">
        <f t="shared" si="0"/>
        <v>900</v>
      </c>
      <c r="F5" s="9">
        <f t="shared" si="1"/>
        <v>0.74380165289256195</v>
      </c>
    </row>
    <row r="6" spans="2:6" ht="15.75" x14ac:dyDescent="0.25">
      <c r="B6" s="7">
        <f t="shared" si="2"/>
        <v>1331</v>
      </c>
      <c r="C6">
        <v>1.1000000000000001</v>
      </c>
      <c r="D6" s="10">
        <f>((B6*C6)-B6)/15</f>
        <v>8.873333333333342</v>
      </c>
      <c r="E6" s="8">
        <f t="shared" si="0"/>
        <v>900</v>
      </c>
      <c r="F6" s="9">
        <f t="shared" si="1"/>
        <v>0.67618332081141996</v>
      </c>
    </row>
    <row r="7" spans="2:6" ht="15.75" x14ac:dyDescent="0.25">
      <c r="B7" s="7">
        <f t="shared" si="2"/>
        <v>1464.1000000000001</v>
      </c>
      <c r="C7">
        <v>1.1000000000000001</v>
      </c>
      <c r="D7" s="10">
        <f t="shared" ref="D7:D41" si="3">((B7*C7)-B7)/15</f>
        <v>9.7606666666666726</v>
      </c>
      <c r="E7" s="8">
        <f t="shared" si="0"/>
        <v>1000</v>
      </c>
      <c r="F7" s="9">
        <f t="shared" si="1"/>
        <v>0.68301345536507063</v>
      </c>
    </row>
    <row r="8" spans="2:6" ht="15.75" x14ac:dyDescent="0.25">
      <c r="B8" s="7">
        <f t="shared" si="2"/>
        <v>1610.5100000000002</v>
      </c>
      <c r="C8">
        <v>1.1000000000000001</v>
      </c>
      <c r="D8" s="10">
        <f t="shared" si="3"/>
        <v>10.736733333333344</v>
      </c>
      <c r="E8" s="8">
        <f t="shared" si="0"/>
        <v>1100</v>
      </c>
      <c r="F8" s="9">
        <f t="shared" si="1"/>
        <v>0.68301345536507063</v>
      </c>
    </row>
    <row r="9" spans="2:6" ht="15.75" x14ac:dyDescent="0.25">
      <c r="B9" s="7">
        <f t="shared" si="2"/>
        <v>1771.5610000000004</v>
      </c>
      <c r="C9">
        <v>1.1000000000000001</v>
      </c>
      <c r="D9" s="10">
        <f t="shared" si="3"/>
        <v>11.810406666666676</v>
      </c>
      <c r="E9" s="8">
        <f t="shared" si="0"/>
        <v>1200</v>
      </c>
      <c r="F9" s="9">
        <f t="shared" si="1"/>
        <v>0.67736871606453275</v>
      </c>
    </row>
    <row r="10" spans="2:6" ht="15.75" x14ac:dyDescent="0.25">
      <c r="B10" s="7">
        <f t="shared" si="2"/>
        <v>1948.7171000000005</v>
      </c>
      <c r="C10">
        <v>1.1000000000000001</v>
      </c>
      <c r="D10" s="10">
        <f t="shared" si="3"/>
        <v>12.991447333333342</v>
      </c>
      <c r="E10" s="8">
        <f t="shared" si="0"/>
        <v>1300</v>
      </c>
      <c r="F10" s="9">
        <f t="shared" si="1"/>
        <v>0.66710555369991864</v>
      </c>
    </row>
    <row r="11" spans="2:6" ht="15.75" x14ac:dyDescent="0.25">
      <c r="B11" s="7">
        <f t="shared" si="2"/>
        <v>2143.5888100000006</v>
      </c>
      <c r="C11" s="5">
        <v>1.1000000000000001</v>
      </c>
      <c r="D11" s="10">
        <f t="shared" si="3"/>
        <v>14.290592066666674</v>
      </c>
      <c r="E11" s="8">
        <f t="shared" si="0"/>
        <v>1500</v>
      </c>
      <c r="F11" s="9">
        <f t="shared" si="1"/>
        <v>0.69976107031459989</v>
      </c>
    </row>
    <row r="12" spans="2:6" ht="15.75" x14ac:dyDescent="0.25">
      <c r="B12" s="7">
        <f t="shared" si="2"/>
        <v>2357.9476910000008</v>
      </c>
      <c r="C12" s="5">
        <v>1.1000000000000001</v>
      </c>
      <c r="D12" s="10">
        <f t="shared" si="3"/>
        <v>15.71965127333336</v>
      </c>
      <c r="E12" s="8">
        <f t="shared" si="0"/>
        <v>1600</v>
      </c>
      <c r="F12" s="9">
        <f t="shared" si="1"/>
        <v>0.67855618939597562</v>
      </c>
    </row>
    <row r="13" spans="2:6" ht="15.75" x14ac:dyDescent="0.25">
      <c r="B13" s="11">
        <f t="shared" si="2"/>
        <v>2593.7424601000012</v>
      </c>
      <c r="C13" s="3">
        <v>1.1000000000000001</v>
      </c>
      <c r="D13" s="12">
        <f t="shared" si="3"/>
        <v>17.29161640066668</v>
      </c>
      <c r="E13" s="13">
        <f t="shared" si="0"/>
        <v>1800</v>
      </c>
      <c r="F13" s="14">
        <f t="shared" si="1"/>
        <v>0.6939779209731568</v>
      </c>
    </row>
    <row r="14" spans="2:6" ht="15.75" x14ac:dyDescent="0.25">
      <c r="B14" s="7">
        <f t="shared" si="2"/>
        <v>2853.1167061100014</v>
      </c>
      <c r="C14">
        <v>1.1000000000000001</v>
      </c>
      <c r="D14" s="10">
        <f t="shared" si="3"/>
        <v>19.020778040733362</v>
      </c>
      <c r="E14" s="8">
        <f t="shared" si="0"/>
        <v>2000</v>
      </c>
      <c r="F14" s="9">
        <f t="shared" si="1"/>
        <v>0.70098779896278463</v>
      </c>
    </row>
    <row r="15" spans="2:6" ht="15.75" x14ac:dyDescent="0.25">
      <c r="B15" s="7">
        <f t="shared" si="2"/>
        <v>3138.4283767210018</v>
      </c>
      <c r="C15">
        <v>1.1000000000000001</v>
      </c>
      <c r="D15" s="10">
        <f t="shared" si="3"/>
        <v>20.922855844806691</v>
      </c>
      <c r="E15" s="8">
        <f t="shared" si="0"/>
        <v>2100</v>
      </c>
      <c r="F15" s="9">
        <f t="shared" si="1"/>
        <v>0.66912471719174893</v>
      </c>
    </row>
    <row r="16" spans="2:6" ht="15.75" x14ac:dyDescent="0.25">
      <c r="B16" s="7">
        <f t="shared" si="2"/>
        <v>3452.2712143931021</v>
      </c>
      <c r="C16">
        <v>1.1000000000000001</v>
      </c>
      <c r="D16" s="10">
        <f t="shared" si="3"/>
        <v>23.015141429287361</v>
      </c>
      <c r="E16" s="8">
        <f t="shared" si="0"/>
        <v>2400</v>
      </c>
      <c r="F16" s="9">
        <f t="shared" si="1"/>
        <v>0.69519451136805077</v>
      </c>
    </row>
    <row r="17" spans="2:6" ht="15.75" x14ac:dyDescent="0.25">
      <c r="B17" s="7">
        <f t="shared" si="2"/>
        <v>3797.4983358324125</v>
      </c>
      <c r="C17">
        <v>1.1000000000000001</v>
      </c>
      <c r="D17" s="10">
        <f t="shared" si="3"/>
        <v>25.316655572216103</v>
      </c>
      <c r="E17" s="8">
        <f t="shared" si="0"/>
        <v>2600</v>
      </c>
      <c r="F17" s="9">
        <f t="shared" si="1"/>
        <v>0.68466126119580761</v>
      </c>
    </row>
    <row r="18" spans="2:6" ht="15.75" x14ac:dyDescent="0.25">
      <c r="B18" s="7">
        <f t="shared" si="2"/>
        <v>4177.248169415654</v>
      </c>
      <c r="C18">
        <v>1.1000000000000001</v>
      </c>
      <c r="D18" s="10">
        <f t="shared" si="3"/>
        <v>27.848321129437743</v>
      </c>
      <c r="E18" s="8">
        <f t="shared" si="0"/>
        <v>2800</v>
      </c>
      <c r="F18" s="9">
        <f t="shared" si="1"/>
        <v>0.67029773823365768</v>
      </c>
    </row>
    <row r="19" spans="2:6" ht="15.75" x14ac:dyDescent="0.25">
      <c r="B19" s="7">
        <f t="shared" si="2"/>
        <v>4594.9729863572202</v>
      </c>
      <c r="C19">
        <v>1.1000000000000001</v>
      </c>
      <c r="D19" s="10">
        <f t="shared" si="3"/>
        <v>30.6331532423815</v>
      </c>
      <c r="E19" s="8">
        <f t="shared" si="0"/>
        <v>3100</v>
      </c>
      <c r="F19" s="9">
        <f t="shared" si="1"/>
        <v>0.67465032094946065</v>
      </c>
    </row>
    <row r="20" spans="2:6" ht="15.75" x14ac:dyDescent="0.25">
      <c r="B20" s="7">
        <f t="shared" si="2"/>
        <v>5054.4702849929427</v>
      </c>
      <c r="C20">
        <v>1.1000000000000001</v>
      </c>
      <c r="D20" s="10">
        <f t="shared" si="3"/>
        <v>33.696468566619657</v>
      </c>
      <c r="E20" s="8">
        <f t="shared" si="0"/>
        <v>3400</v>
      </c>
      <c r="F20" s="9">
        <f t="shared" si="1"/>
        <v>0.67267187426045916</v>
      </c>
    </row>
    <row r="21" spans="2:6" ht="15.75" x14ac:dyDescent="0.25">
      <c r="B21" s="7">
        <f t="shared" si="2"/>
        <v>5559.9173134922376</v>
      </c>
      <c r="C21">
        <v>1.1000000000000001</v>
      </c>
      <c r="D21" s="10">
        <f t="shared" si="3"/>
        <v>37.066115423281616</v>
      </c>
      <c r="E21" s="8">
        <f t="shared" si="0"/>
        <v>3800</v>
      </c>
      <c r="F21" s="9">
        <f t="shared" si="1"/>
        <v>0.68346340165501196</v>
      </c>
    </row>
    <row r="22" spans="2:6" ht="15.75" x14ac:dyDescent="0.25">
      <c r="B22" s="7">
        <f t="shared" si="2"/>
        <v>6115.9090448414618</v>
      </c>
      <c r="C22">
        <v>1.1000000000000001</v>
      </c>
      <c r="D22" s="10">
        <f t="shared" si="3"/>
        <v>40.772726965609763</v>
      </c>
      <c r="E22" s="8">
        <f t="shared" si="0"/>
        <v>4100</v>
      </c>
      <c r="F22" s="9">
        <f t="shared" si="1"/>
        <v>0.67038276238888728</v>
      </c>
    </row>
    <row r="23" spans="2:6" ht="15.75" x14ac:dyDescent="0.25">
      <c r="B23" s="7">
        <f t="shared" si="2"/>
        <v>6727.4999493256082</v>
      </c>
      <c r="C23">
        <v>1.1000000000000001</v>
      </c>
      <c r="D23" s="10">
        <f t="shared" si="3"/>
        <v>44.849999662170738</v>
      </c>
      <c r="E23" s="8">
        <f t="shared" si="0"/>
        <v>4500</v>
      </c>
      <c r="F23" s="9">
        <f t="shared" si="1"/>
        <v>0.6688963261086458</v>
      </c>
    </row>
    <row r="24" spans="2:6" ht="15.75" x14ac:dyDescent="0.25">
      <c r="B24" s="7">
        <f t="shared" si="2"/>
        <v>7400.2499442581693</v>
      </c>
      <c r="C24">
        <v>1.1000000000000001</v>
      </c>
      <c r="D24" s="10">
        <f t="shared" si="3"/>
        <v>49.334999628387841</v>
      </c>
      <c r="E24" s="8">
        <f t="shared" si="0"/>
        <v>5000</v>
      </c>
      <c r="F24" s="9">
        <f t="shared" si="1"/>
        <v>0.67565285465519775</v>
      </c>
    </row>
    <row r="25" spans="2:6" ht="15.75" x14ac:dyDescent="0.25">
      <c r="B25" s="7">
        <f t="shared" ref="B25:B41" si="4">B24*1.1</f>
        <v>8140.2749386839869</v>
      </c>
      <c r="C25">
        <v>1.1000000000000001</v>
      </c>
      <c r="D25" s="10">
        <f t="shared" si="3"/>
        <v>54.268499591226586</v>
      </c>
      <c r="E25" s="8">
        <f t="shared" si="0"/>
        <v>5500</v>
      </c>
      <c r="F25" s="9">
        <f t="shared" si="1"/>
        <v>0.67565285465519764</v>
      </c>
    </row>
    <row r="26" spans="2:6" ht="15.75" x14ac:dyDescent="0.25">
      <c r="B26" s="7">
        <f t="shared" si="4"/>
        <v>8954.3024325523857</v>
      </c>
      <c r="C26">
        <v>1.1000000000000001</v>
      </c>
      <c r="D26" s="10">
        <f t="shared" si="3"/>
        <v>59.695349550349299</v>
      </c>
      <c r="E26" s="8">
        <f t="shared" si="0"/>
        <v>6000</v>
      </c>
      <c r="F26" s="9">
        <f t="shared" si="1"/>
        <v>0.67006894676548534</v>
      </c>
    </row>
    <row r="27" spans="2:6" ht="15.75" x14ac:dyDescent="0.25">
      <c r="B27" s="7">
        <f t="shared" si="4"/>
        <v>9849.7326758076251</v>
      </c>
      <c r="C27">
        <v>1.1000000000000001</v>
      </c>
      <c r="D27" s="10">
        <f t="shared" si="3"/>
        <v>65.66488450538418</v>
      </c>
      <c r="E27" s="8">
        <f t="shared" si="0"/>
        <v>6600</v>
      </c>
      <c r="F27" s="9">
        <f t="shared" si="1"/>
        <v>0.67006894676548523</v>
      </c>
    </row>
    <row r="28" spans="2:6" ht="15.75" x14ac:dyDescent="0.25">
      <c r="B28" s="7">
        <f t="shared" si="4"/>
        <v>10834.705943388388</v>
      </c>
      <c r="C28">
        <v>1.1000000000000001</v>
      </c>
      <c r="D28" s="10">
        <f t="shared" si="3"/>
        <v>72.231372955922652</v>
      </c>
      <c r="E28" s="8">
        <f t="shared" si="0"/>
        <v>7300</v>
      </c>
      <c r="F28" s="9">
        <f t="shared" si="1"/>
        <v>0.67376078669256778</v>
      </c>
    </row>
    <row r="29" spans="2:6" ht="15.75" x14ac:dyDescent="0.25">
      <c r="B29" s="7">
        <f t="shared" si="4"/>
        <v>11918.176537727228</v>
      </c>
      <c r="C29">
        <v>1.1000000000000001</v>
      </c>
      <c r="D29" s="10">
        <f t="shared" si="3"/>
        <v>79.454510251514876</v>
      </c>
      <c r="E29" s="8">
        <f t="shared" si="0"/>
        <v>8000</v>
      </c>
      <c r="F29" s="9">
        <f t="shared" si="1"/>
        <v>0.67124362310592056</v>
      </c>
    </row>
    <row r="30" spans="2:6" ht="15.75" x14ac:dyDescent="0.25">
      <c r="B30" s="7">
        <f t="shared" si="4"/>
        <v>13109.994191499951</v>
      </c>
      <c r="C30">
        <v>1.1000000000000001</v>
      </c>
      <c r="D30" s="10">
        <f t="shared" si="3"/>
        <v>87.39996127666636</v>
      </c>
      <c r="E30" s="8">
        <f t="shared" si="0"/>
        <v>8800</v>
      </c>
      <c r="F30" s="9">
        <f t="shared" si="1"/>
        <v>0.67124362310592045</v>
      </c>
    </row>
    <row r="31" spans="2:6" ht="15.75" x14ac:dyDescent="0.25">
      <c r="B31" s="7">
        <f t="shared" si="4"/>
        <v>14420.993610649946</v>
      </c>
      <c r="C31">
        <v>1.1000000000000001</v>
      </c>
      <c r="D31" s="10">
        <f t="shared" si="3"/>
        <v>96.139957404333103</v>
      </c>
      <c r="E31" s="8">
        <f t="shared" si="0"/>
        <v>9700</v>
      </c>
      <c r="F31" s="9">
        <f t="shared" si="1"/>
        <v>0.67263049009580878</v>
      </c>
    </row>
    <row r="32" spans="2:6" ht="15.75" x14ac:dyDescent="0.25">
      <c r="B32" s="7">
        <f t="shared" si="4"/>
        <v>15863.092971714943</v>
      </c>
      <c r="C32">
        <v>1.1000000000000001</v>
      </c>
      <c r="D32" s="10">
        <f t="shared" si="3"/>
        <v>105.7539531447664</v>
      </c>
      <c r="E32" s="8">
        <f t="shared" si="0"/>
        <v>10600</v>
      </c>
      <c r="F32" s="9">
        <f t="shared" si="1"/>
        <v>0.66821773149161878</v>
      </c>
    </row>
    <row r="33" spans="2:6" ht="15.75" x14ac:dyDescent="0.25">
      <c r="B33" s="7">
        <f t="shared" si="4"/>
        <v>17449.402268886439</v>
      </c>
      <c r="C33">
        <v>1.1000000000000001</v>
      </c>
      <c r="D33" s="10">
        <f t="shared" si="3"/>
        <v>116.32934845924295</v>
      </c>
      <c r="E33" s="8">
        <f t="shared" si="0"/>
        <v>11700</v>
      </c>
      <c r="F33" s="9">
        <f t="shared" si="1"/>
        <v>0.67051007362366544</v>
      </c>
    </row>
    <row r="34" spans="2:6" ht="15.75" x14ac:dyDescent="0.25">
      <c r="B34" s="7">
        <f t="shared" si="4"/>
        <v>19194.342495775083</v>
      </c>
      <c r="C34">
        <v>1.1000000000000001</v>
      </c>
      <c r="D34" s="10">
        <f t="shared" si="3"/>
        <v>127.96228330516728</v>
      </c>
      <c r="E34" s="8">
        <f t="shared" si="0"/>
        <v>12800</v>
      </c>
      <c r="F34" s="9">
        <f t="shared" si="1"/>
        <v>0.66686316568631832</v>
      </c>
    </row>
    <row r="35" spans="2:6" ht="15.75" x14ac:dyDescent="0.25">
      <c r="B35" s="7">
        <f t="shared" si="4"/>
        <v>21113.776745352592</v>
      </c>
      <c r="C35">
        <v>1.1000000000000001</v>
      </c>
      <c r="D35" s="10">
        <f t="shared" si="3"/>
        <v>140.75851163568416</v>
      </c>
      <c r="E35" s="8">
        <f t="shared" si="0"/>
        <v>14100</v>
      </c>
      <c r="F35" s="9">
        <f t="shared" si="1"/>
        <v>0.66781041450121359</v>
      </c>
    </row>
    <row r="36" spans="2:6" ht="15.75" x14ac:dyDescent="0.25">
      <c r="B36" s="7">
        <f t="shared" si="4"/>
        <v>23225.154419887855</v>
      </c>
      <c r="C36">
        <v>1.1000000000000001</v>
      </c>
      <c r="D36" s="10">
        <f t="shared" si="3"/>
        <v>154.83436279925252</v>
      </c>
      <c r="E36" s="8">
        <f t="shared" si="0"/>
        <v>15500</v>
      </c>
      <c r="F36" s="9">
        <f t="shared" si="1"/>
        <v>0.66737984685807927</v>
      </c>
    </row>
    <row r="37" spans="2:6" ht="15.75" x14ac:dyDescent="0.25">
      <c r="B37" s="7">
        <f t="shared" si="4"/>
        <v>25547.669861876642</v>
      </c>
      <c r="C37">
        <v>1.1000000000000001</v>
      </c>
      <c r="D37" s="10">
        <f t="shared" si="3"/>
        <v>170.31779907917783</v>
      </c>
      <c r="E37" s="8">
        <f t="shared" si="0"/>
        <v>17100</v>
      </c>
      <c r="F37" s="9">
        <f t="shared" si="1"/>
        <v>0.6693369725086894</v>
      </c>
    </row>
    <row r="38" spans="2:6" ht="15.75" x14ac:dyDescent="0.25">
      <c r="B38" s="7">
        <f t="shared" si="4"/>
        <v>28102.43684806431</v>
      </c>
      <c r="C38">
        <v>1.1000000000000001</v>
      </c>
      <c r="D38" s="10">
        <f t="shared" si="3"/>
        <v>187.34957898709544</v>
      </c>
      <c r="E38" s="8">
        <f t="shared" si="0"/>
        <v>18800</v>
      </c>
      <c r="F38" s="9">
        <f t="shared" si="1"/>
        <v>0.66898113148130567</v>
      </c>
    </row>
    <row r="39" spans="2:6" ht="15.75" x14ac:dyDescent="0.25">
      <c r="B39" s="7">
        <f t="shared" si="4"/>
        <v>30912.680532870741</v>
      </c>
      <c r="C39">
        <v>1.1000000000000001</v>
      </c>
      <c r="D39" s="10">
        <f t="shared" si="3"/>
        <v>206.08453688580533</v>
      </c>
      <c r="E39" s="8">
        <f t="shared" si="0"/>
        <v>20700</v>
      </c>
      <c r="F39" s="9">
        <f t="shared" si="1"/>
        <v>0.66962811516745779</v>
      </c>
    </row>
    <row r="40" spans="2:6" ht="15.75" x14ac:dyDescent="0.25">
      <c r="B40" s="7">
        <f t="shared" si="4"/>
        <v>34003.948586157821</v>
      </c>
      <c r="C40">
        <v>1.1000000000000001</v>
      </c>
      <c r="D40" s="10">
        <f t="shared" si="3"/>
        <v>226.69299057438573</v>
      </c>
      <c r="E40" s="8">
        <f t="shared" si="0"/>
        <v>22700</v>
      </c>
      <c r="F40" s="9">
        <f t="shared" si="1"/>
        <v>0.66756953071151914</v>
      </c>
    </row>
    <row r="41" spans="2:6" ht="15.75" x14ac:dyDescent="0.25">
      <c r="B41" s="7">
        <f t="shared" si="4"/>
        <v>37404.343444773607</v>
      </c>
      <c r="C41">
        <v>1.1000000000000001</v>
      </c>
      <c r="D41" s="10">
        <f t="shared" si="3"/>
        <v>249.36228963182415</v>
      </c>
      <c r="E41" s="8">
        <f t="shared" si="0"/>
        <v>25000</v>
      </c>
      <c r="F41" s="9">
        <f t="shared" si="1"/>
        <v>0.66837157660344315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Q10"/>
  <sheetViews>
    <sheetView workbookViewId="0">
      <selection activeCell="M21" sqref="M21"/>
    </sheetView>
  </sheetViews>
  <sheetFormatPr defaultRowHeight="15.75" x14ac:dyDescent="0.25"/>
  <cols>
    <col min="1" max="1" width="9.140625" style="21"/>
    <col min="2" max="2" width="11.28515625" style="21" customWidth="1"/>
    <col min="3" max="3" width="9.140625" style="21"/>
    <col min="4" max="4" width="12.140625" style="21" customWidth="1"/>
    <col min="5" max="6" width="9.140625" style="21"/>
    <col min="7" max="7" width="11.28515625" style="21" customWidth="1"/>
    <col min="8" max="8" width="11.5703125" style="21" customWidth="1"/>
    <col min="9" max="9" width="9.42578125" style="21" customWidth="1"/>
    <col min="10" max="10" width="15.85546875" style="21" customWidth="1"/>
    <col min="11" max="11" width="9.140625" style="21"/>
    <col min="12" max="12" width="29.7109375" style="21" customWidth="1"/>
    <col min="13" max="13" width="27.42578125" style="21" customWidth="1"/>
    <col min="14" max="14" width="10.42578125" style="21" customWidth="1"/>
    <col min="15" max="15" width="11.28515625" style="21" customWidth="1"/>
    <col min="16" max="16" width="10.7109375" style="21" bestFit="1" customWidth="1"/>
    <col min="17" max="16384" width="9.140625" style="21"/>
  </cols>
  <sheetData>
    <row r="2" spans="2:17" x14ac:dyDescent="0.25">
      <c r="B2" s="15" t="s">
        <v>51</v>
      </c>
      <c r="C2" s="16" t="s">
        <v>68</v>
      </c>
      <c r="D2" s="19" t="s">
        <v>59</v>
      </c>
      <c r="E2" s="16" t="s">
        <v>39</v>
      </c>
      <c r="F2" s="16" t="s">
        <v>54</v>
      </c>
      <c r="G2" s="16" t="s">
        <v>61</v>
      </c>
      <c r="H2" s="16" t="s">
        <v>55</v>
      </c>
      <c r="I2" s="17" t="s">
        <v>56</v>
      </c>
      <c r="J2" s="17" t="s">
        <v>3</v>
      </c>
      <c r="K2" s="15" t="s">
        <v>62</v>
      </c>
      <c r="L2" s="18" t="s">
        <v>57</v>
      </c>
      <c r="M2" s="19" t="s">
        <v>58</v>
      </c>
      <c r="N2" s="16" t="s">
        <v>65</v>
      </c>
      <c r="O2" s="16" t="s">
        <v>64</v>
      </c>
      <c r="P2" s="16" t="s">
        <v>52</v>
      </c>
      <c r="Q2" s="16" t="s">
        <v>41</v>
      </c>
    </row>
    <row r="3" spans="2:17" x14ac:dyDescent="0.25">
      <c r="B3" s="20">
        <v>44232</v>
      </c>
      <c r="C3" s="21" t="s">
        <v>73</v>
      </c>
      <c r="D3" s="21">
        <v>0.15</v>
      </c>
      <c r="E3" s="31">
        <v>14</v>
      </c>
      <c r="F3" s="21" t="s">
        <v>53</v>
      </c>
      <c r="H3" s="21" t="s">
        <v>53</v>
      </c>
      <c r="I3" s="22">
        <v>20</v>
      </c>
      <c r="J3" s="23">
        <v>6</v>
      </c>
      <c r="K3" s="20"/>
      <c r="L3" s="24">
        <v>-0.2</v>
      </c>
      <c r="M3" s="25" t="s">
        <v>60</v>
      </c>
      <c r="P3" s="20">
        <v>44235</v>
      </c>
      <c r="Q3" s="32">
        <v>196</v>
      </c>
    </row>
    <row r="4" spans="2:17" x14ac:dyDescent="0.25">
      <c r="B4" s="20">
        <v>44236</v>
      </c>
      <c r="C4" s="21" t="s">
        <v>70</v>
      </c>
      <c r="D4" s="21">
        <v>0.15</v>
      </c>
      <c r="E4" s="21">
        <v>16</v>
      </c>
      <c r="F4" s="21" t="s">
        <v>53</v>
      </c>
      <c r="G4" s="21">
        <v>0.89</v>
      </c>
      <c r="H4" s="21" t="s">
        <v>53</v>
      </c>
      <c r="I4" s="21">
        <v>20</v>
      </c>
      <c r="J4" s="21">
        <v>8</v>
      </c>
      <c r="K4" s="21">
        <v>-1</v>
      </c>
      <c r="L4" s="21">
        <v>-0.14000000000000001</v>
      </c>
      <c r="M4" s="21" t="s">
        <v>63</v>
      </c>
      <c r="N4" s="21">
        <v>21.38</v>
      </c>
      <c r="O4" s="21">
        <v>3.6</v>
      </c>
      <c r="P4" s="20">
        <v>44237</v>
      </c>
      <c r="Q4" s="21">
        <v>208</v>
      </c>
    </row>
    <row r="5" spans="2:17" x14ac:dyDescent="0.25">
      <c r="B5" s="20">
        <v>44238</v>
      </c>
      <c r="C5" s="21" t="s">
        <v>67</v>
      </c>
      <c r="D5" s="21">
        <v>0.15</v>
      </c>
      <c r="E5" s="21">
        <v>16</v>
      </c>
      <c r="F5" s="21" t="s">
        <v>53</v>
      </c>
      <c r="G5" s="21">
        <v>2.0009999999999999</v>
      </c>
      <c r="H5" s="21" t="s">
        <v>53</v>
      </c>
      <c r="I5" s="21">
        <v>23</v>
      </c>
      <c r="J5" s="21">
        <v>3</v>
      </c>
      <c r="K5" s="21">
        <v>-7</v>
      </c>
      <c r="L5" s="21">
        <v>-0.15</v>
      </c>
      <c r="M5" s="21" t="s">
        <v>69</v>
      </c>
      <c r="N5" s="21">
        <v>22.5</v>
      </c>
      <c r="O5" s="21">
        <v>2.5499999999999998</v>
      </c>
      <c r="P5" s="20">
        <v>44239</v>
      </c>
      <c r="Q5" s="21">
        <f>255-119</f>
        <v>136</v>
      </c>
    </row>
    <row r="6" spans="2:17" x14ac:dyDescent="0.25">
      <c r="B6" s="20">
        <v>44239</v>
      </c>
      <c r="C6" s="33" t="s">
        <v>71</v>
      </c>
      <c r="D6" s="21">
        <v>0.2</v>
      </c>
      <c r="E6" s="21">
        <v>5</v>
      </c>
      <c r="F6" s="21" t="s">
        <v>53</v>
      </c>
      <c r="G6" s="21">
        <v>1.86</v>
      </c>
      <c r="H6" s="21" t="s">
        <v>53</v>
      </c>
      <c r="I6" s="21">
        <v>25</v>
      </c>
      <c r="J6" s="21">
        <v>10</v>
      </c>
      <c r="K6" s="21">
        <v>0</v>
      </c>
      <c r="L6" s="21">
        <v>-0.27</v>
      </c>
      <c r="M6" s="21" t="s">
        <v>72</v>
      </c>
      <c r="N6" s="21">
        <v>20.16</v>
      </c>
      <c r="O6" s="21">
        <v>-5.12</v>
      </c>
      <c r="P6" s="20">
        <v>44240</v>
      </c>
      <c r="Q6" s="21">
        <v>-120</v>
      </c>
    </row>
    <row r="7" spans="2:17" x14ac:dyDescent="0.25">
      <c r="B7" s="20">
        <v>44243</v>
      </c>
      <c r="C7" s="21" t="s">
        <v>74</v>
      </c>
      <c r="D7" s="21">
        <v>0.15</v>
      </c>
      <c r="E7" s="21">
        <v>17</v>
      </c>
      <c r="F7" s="21" t="s">
        <v>53</v>
      </c>
      <c r="G7" s="21">
        <v>2.0699999999999998</v>
      </c>
      <c r="H7" s="21" t="s">
        <v>53</v>
      </c>
      <c r="I7" s="21">
        <v>25</v>
      </c>
      <c r="J7" s="21">
        <v>5</v>
      </c>
      <c r="K7" s="21">
        <v>-8</v>
      </c>
      <c r="L7" s="21">
        <v>-0.1</v>
      </c>
      <c r="M7" s="21" t="s">
        <v>75</v>
      </c>
      <c r="N7" s="21">
        <v>21.9</v>
      </c>
      <c r="O7" s="21">
        <v>8.86</v>
      </c>
      <c r="P7" s="20">
        <v>44244</v>
      </c>
      <c r="Q7" s="21">
        <v>221</v>
      </c>
    </row>
    <row r="8" spans="2:17" x14ac:dyDescent="0.25">
      <c r="B8" s="20">
        <v>44245</v>
      </c>
      <c r="C8" s="21" t="s">
        <v>77</v>
      </c>
      <c r="D8" s="21">
        <v>0.15</v>
      </c>
      <c r="E8" s="21">
        <v>19</v>
      </c>
      <c r="F8" s="21" t="s">
        <v>53</v>
      </c>
      <c r="G8" s="21">
        <v>2.7040000000000002</v>
      </c>
      <c r="H8" s="21" t="s">
        <v>53</v>
      </c>
      <c r="I8" s="21">
        <v>24</v>
      </c>
      <c r="J8" s="21">
        <v>4</v>
      </c>
      <c r="K8" s="21">
        <v>-8</v>
      </c>
      <c r="L8" s="21">
        <v>-0.15</v>
      </c>
      <c r="M8" s="21" t="s">
        <v>75</v>
      </c>
      <c r="N8" s="21">
        <v>23.9</v>
      </c>
      <c r="O8" s="21">
        <v>11.21</v>
      </c>
      <c r="P8" s="20"/>
    </row>
    <row r="9" spans="2:17" x14ac:dyDescent="0.25">
      <c r="B9" s="20">
        <v>44245</v>
      </c>
      <c r="C9" s="21" t="s">
        <v>79</v>
      </c>
      <c r="D9" s="21">
        <f>((0.15*8)+(0.2*5))/13</f>
        <v>0.16923076923076924</v>
      </c>
      <c r="E9" s="21">
        <v>8</v>
      </c>
      <c r="F9" s="21" t="s">
        <v>53</v>
      </c>
      <c r="G9" s="21">
        <v>2.4300000000000002</v>
      </c>
      <c r="H9" s="21" t="s">
        <v>78</v>
      </c>
      <c r="I9" s="21">
        <v>21</v>
      </c>
      <c r="J9" s="21">
        <v>8</v>
      </c>
      <c r="K9" s="21">
        <v>-2</v>
      </c>
      <c r="L9" s="21">
        <v>-0.25</v>
      </c>
      <c r="M9" s="21" t="s">
        <v>80</v>
      </c>
      <c r="N9" s="21">
        <v>22.2</v>
      </c>
      <c r="O9" s="21">
        <v>3.44</v>
      </c>
      <c r="P9" s="20">
        <v>44245</v>
      </c>
      <c r="Q9" s="21">
        <v>-130</v>
      </c>
    </row>
    <row r="10" spans="2:17" x14ac:dyDescent="0.25">
      <c r="B10" s="20">
        <v>44245</v>
      </c>
      <c r="C10" s="21" t="s">
        <v>82</v>
      </c>
      <c r="D10" s="21">
        <v>0.15</v>
      </c>
      <c r="E10" s="21">
        <v>23</v>
      </c>
      <c r="F10" s="21" t="s">
        <v>53</v>
      </c>
      <c r="G10" s="21">
        <v>3.09</v>
      </c>
      <c r="H10" s="21" t="s">
        <v>53</v>
      </c>
      <c r="I10" s="21">
        <v>20</v>
      </c>
      <c r="J10" s="21">
        <v>0.08</v>
      </c>
      <c r="K10" s="21">
        <v>-1</v>
      </c>
      <c r="L10" s="21">
        <v>-0.01</v>
      </c>
      <c r="M10" s="21" t="s">
        <v>80</v>
      </c>
      <c r="N10" s="21">
        <v>22</v>
      </c>
      <c r="O10" s="21">
        <v>2.37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</dc:creator>
  <cp:lastModifiedBy>Art</cp:lastModifiedBy>
  <dcterms:created xsi:type="dcterms:W3CDTF">2021-01-04T17:12:02Z</dcterms:created>
  <dcterms:modified xsi:type="dcterms:W3CDTF">2021-02-19T06:18:42Z</dcterms:modified>
</cp:coreProperties>
</file>