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rt\Dropbox\1 - Gamma Convexity\Triplex\"/>
    </mc:Choice>
  </mc:AlternateContent>
  <bookViews>
    <workbookView xWindow="0" yWindow="0" windowWidth="8850" windowHeight="3210"/>
  </bookViews>
  <sheets>
    <sheet name="Sheet1" sheetId="1" r:id="rId1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convertToRT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DTE">
          <x14:argumentDescriptions count="1">
            <x14:argumentDescription index="0">Positional argument 1</x14:argumentDescription>
          </x14:argumentDescriptions>
        </x14:definedName>
        <x14:definedName name="getExp">
          <x14:argumentDescriptions count="1">
            <x14:argumentDescription index="0">Positional argument 1</x14:argumentDescription>
          </x14:argumentDescriptions>
        </x14:definedName>
        <x14:definedName name="getLongStrike">
          <x14:argumentDescriptions count="1">
            <x14:argumentDescription index="0">Positional argument 1</x14:argumentDescription>
          </x14:argumentDescriptions>
        </x14:definedName>
        <x14:definedName name="getLongStrikeTicker">
          <x14:argumentDescriptions count="1">
            <x14:argumentDescription index="0">Positional argument 1</x14:argumentDescription>
          </x14:argumentDescriptions>
        </x14:definedName>
        <x14:definedName name="getShortStrike">
          <x14:argumentDescriptions count="1">
            <x14:argumentDescription index="0">Positional argument 1</x14:argumentDescription>
          </x14:argumentDescriptions>
        </x14:definedName>
        <x14:definedName name="getShortStrikeTicker">
          <x14:argumentDescriptions count="1">
            <x14:argumentDescription index="0">Positional argument 1</x14:argumentDescription>
          </x14:argumentDescriptions>
        </x14:definedName>
        <x14:definedName name="getSid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34" i="1" s="1"/>
  <c r="C31" i="1"/>
  <c r="B34" i="1"/>
  <c r="C4" i="1"/>
  <c r="C5" i="1"/>
  <c r="C6" i="1"/>
  <c r="C18" i="1"/>
  <c r="C7" i="1"/>
  <c r="C3" i="1"/>
  <c r="C19" i="1"/>
  <c r="C20" i="1"/>
  <c r="C8" i="1"/>
  <c r="C22" i="1" l="1"/>
  <c r="C24" i="1" s="1"/>
  <c r="C23" i="1"/>
  <c r="C14" i="1"/>
  <c r="C15" i="1"/>
  <c r="C27" i="1"/>
  <c r="C29" i="1" s="1"/>
  <c r="C33" i="1"/>
  <c r="C13" i="1"/>
  <c r="C11" i="1"/>
  <c r="C12" i="1"/>
  <c r="B30" i="1"/>
  <c r="B31" i="1"/>
  <c r="B4" i="1"/>
  <c r="B5" i="1"/>
  <c r="B6" i="1"/>
  <c r="B41" i="1"/>
  <c r="B42" i="1" s="1"/>
  <c r="B18" i="1"/>
  <c r="B8" i="1"/>
  <c r="B20" i="1"/>
  <c r="B19" i="1"/>
  <c r="B3" i="1"/>
  <c r="B7" i="1"/>
  <c r="C16" i="1" l="1"/>
  <c r="B23" i="1"/>
  <c r="B27" i="1" s="1"/>
  <c r="B29" i="1" s="1"/>
  <c r="B22" i="1"/>
  <c r="B33" i="1"/>
  <c r="B13" i="1"/>
  <c r="B14" i="1"/>
  <c r="B15" i="1"/>
  <c r="B11" i="1"/>
  <c r="B12" i="1"/>
  <c r="B24" i="1" l="1"/>
  <c r="B16" i="1"/>
</calcChain>
</file>

<file path=xl/sharedStrings.xml><?xml version="1.0" encoding="utf-8"?>
<sst xmlns="http://schemas.openxmlformats.org/spreadsheetml/2006/main" count="48" uniqueCount="48">
  <si>
    <t>Long Strike</t>
  </si>
  <si>
    <t>Short Strike Delta</t>
  </si>
  <si>
    <t>Long Strike Delta</t>
  </si>
  <si>
    <t>Spread Delta</t>
  </si>
  <si>
    <t>Red: 255, 143, 143</t>
  </si>
  <si>
    <t>Green: 159, 255, 168</t>
  </si>
  <si>
    <t>Implied % Move</t>
  </si>
  <si>
    <t>Implied Move</t>
  </si>
  <si>
    <t>OTM %</t>
  </si>
  <si>
    <t>OTM</t>
  </si>
  <si>
    <t>Side</t>
  </si>
  <si>
    <t>Short Strike</t>
  </si>
  <si>
    <t>Ticker</t>
  </si>
  <si>
    <t>Expiration</t>
  </si>
  <si>
    <t>DTE</t>
  </si>
  <si>
    <t>Spot</t>
  </si>
  <si>
    <t>Credit Collected</t>
  </si>
  <si>
    <t>Conditions to make a Trade:</t>
  </si>
  <si>
    <t>EV is close to positive or positive</t>
  </si>
  <si>
    <t>Net Credit is .15 minimum for $100 collateral</t>
  </si>
  <si>
    <t>price is touching or near touching 2std. Devitation</t>
  </si>
  <si>
    <t>If there is a large, upcoming macro event, guage how over/underpriced the implied move is</t>
  </si>
  <si>
    <t>Conditionals:</t>
  </si>
  <si>
    <t>Implied move % is similar to OTM%</t>
  </si>
  <si>
    <t>Short Strike Delta is not greater than .23</t>
  </si>
  <si>
    <t>Technically overextended</t>
  </si>
  <si>
    <t>^ this most likely requires some kind of manual intervention</t>
  </si>
  <si>
    <t>local macro positioning - &gt; can a rally or selloff go further?</t>
  </si>
  <si>
    <t>Regular:</t>
  </si>
  <si>
    <t>Option must be 1 DTE (or 3 DTE for Monday exp)</t>
  </si>
  <si>
    <t>VIX between 20-30</t>
  </si>
  <si>
    <t>Implied Upper Bound</t>
  </si>
  <si>
    <t>Implied Lower Bound</t>
  </si>
  <si>
    <t>Implied-OTM Diff%</t>
  </si>
  <si>
    <t>Spread Bid</t>
  </si>
  <si>
    <t>Spread Ask</t>
  </si>
  <si>
    <t>1 Spread Max Gain</t>
  </si>
  <si>
    <t>1 Spread Max Loss</t>
  </si>
  <si>
    <t>1 Spread EV</t>
  </si>
  <si>
    <t>Lot Size</t>
  </si>
  <si>
    <t>Lot Size EV</t>
  </si>
  <si>
    <t>Max Gain</t>
  </si>
  <si>
    <t>Max Loss</t>
  </si>
  <si>
    <t>1 Spread Credit EV</t>
  </si>
  <si>
    <t>STOP LOSS (spread)</t>
  </si>
  <si>
    <t>Running PnL</t>
  </si>
  <si>
    <t>.SPY210219P384-.SPY210219P383</t>
  </si>
  <si>
    <t>.SPY210219C394-.SPY210219C395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</si>
</sst>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10" fontId="0" fillId="0" borderId="0" xfId="1" applyNumberFormat="1" applyFont="1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Font="1"/>
    <xf numFmtId="0" fontId="3" fillId="0" borderId="0" xfId="0" applyFont="1"/>
    <xf numFmtId="0" fontId="0" fillId="2" borderId="0" xfId="0" applyFill="1"/>
    <xf numFmtId="10" fontId="0" fillId="2" borderId="0" xfId="0" applyNumberFormat="1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2" fontId="0" fillId="2" borderId="0" xfId="0" applyNumberFormat="1" applyFill="1"/>
    <xf numFmtId="0" fontId="0" fillId="0" borderId="0" xfId="0" applyFill="1" applyAlignment="1">
      <alignment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9FFFA8"/>
      <color rgb="FFFF8F8F"/>
      <color rgb="FF9BFFAE"/>
      <color rgb="FFFF6969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0.06</v>
        <stp/>
        <stp>ask</stp>
        <stp>.SPY210219P384-.SPY210219P383</stp>
        <tr r="B8" s="1"/>
      </tp>
      <tp>
        <v>0.03</v>
        <stp/>
        <stp>bid</stp>
        <stp>.SPY210219P384-.SPY210219P383</stp>
        <tr r="B7" s="1"/>
      </tp>
      <tp>
        <v>0.11</v>
        <stp/>
        <stp>ask</stp>
        <stp>.SPY210219C394-.SPY210219C395</stp>
        <tr r="C8" s="1"/>
      </tp>
      <tp>
        <v>0.09</v>
        <stp/>
        <stp>bid</stp>
        <stp>.SPY210219C394-.SPY210219C395</stp>
        <tr r="C7" s="1"/>
      </tp>
      <tp>
        <v>390.72</v>
        <stp/>
        <stp>last</stp>
        <stp>SPY</stp>
        <tr r="B3" s="1"/>
        <tr r="C3" s="1"/>
      </tp>
      <tp>
        <v>0.06</v>
        <stp/>
        <stp>DELTA</stp>
        <stp>.SPY210219C394-.SPY210219C395</stp>
        <tr r="C20" s="1"/>
      </tp>
      <tp>
        <v>-0.02</v>
        <stp/>
        <stp>DELTA</stp>
        <stp>.SPY210219P384-.SPY210219P383</stp>
        <tr r="B20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3"/>
  <sheetViews>
    <sheetView tabSelected="1" zoomScaleNormal="100" workbookViewId="0">
      <selection activeCell="D40" sqref="D40"/>
    </sheetView>
  </sheetViews>
  <sheetFormatPr defaultRowHeight="15" x14ac:dyDescent="0.25"/>
  <cols>
    <col min="1" max="1" width="20.42578125" customWidth="1"/>
    <col min="2" max="2" width="19.5703125" customWidth="1"/>
    <col min="3" max="3" width="16.85546875" customWidth="1"/>
    <col min="4" max="4" width="16.42578125" customWidth="1"/>
    <col min="5" max="5" width="20.42578125" customWidth="1"/>
    <col min="6" max="6" width="14" bestFit="1" customWidth="1"/>
    <col min="7" max="7" width="12.28515625" customWidth="1"/>
    <col min="8" max="10" width="9.42578125" bestFit="1" customWidth="1"/>
    <col min="12" max="12" width="9.28515625" bestFit="1" customWidth="1"/>
    <col min="15" max="16" width="9.28515625" bestFit="1" customWidth="1"/>
    <col min="18" max="18" width="9.28515625" bestFit="1" customWidth="1"/>
    <col min="22" max="22" width="9.28515625" bestFit="1" customWidth="1"/>
  </cols>
  <sheetData>
    <row r="1" spans="1:3" s="2" customFormat="1" ht="39.75" customHeight="1" x14ac:dyDescent="0.25">
      <c r="A1" s="4" t="s">
        <v>12</v>
      </c>
      <c r="B1" s="13" t="s">
        <v>46</v>
      </c>
      <c r="C1" s="2" t="s">
        <v>47</v>
      </c>
    </row>
    <row r="3" spans="1:3" x14ac:dyDescent="0.25">
      <c r="A3" s="3" t="s">
        <v>15</v>
      </c>
      <c r="B3">
        <f xml:space="preserve"> RTD("tos.rtd", , "last","SPY")</f>
        <v>390.72</v>
      </c>
      <c r="C3">
        <f xml:space="preserve"> RTD("tos.rtd", , "last","SPY")</f>
        <v>390.72</v>
      </c>
    </row>
    <row r="4" spans="1:3" x14ac:dyDescent="0.25">
      <c r="A4" s="3" t="s">
        <v>11</v>
      </c>
      <c r="B4" t="str">
        <f>getShortStrike(B1)</f>
        <v>384</v>
      </c>
      <c r="C4" t="str">
        <f>getShortStrike(C1)</f>
        <v>394</v>
      </c>
    </row>
    <row r="5" spans="1:3" x14ac:dyDescent="0.25">
      <c r="A5" s="3" t="s">
        <v>0</v>
      </c>
      <c r="B5" t="str">
        <f>getLongStrike(B1)</f>
        <v>383</v>
      </c>
      <c r="C5" t="str">
        <f>getLongStrike(C1)</f>
        <v>395</v>
      </c>
    </row>
    <row r="6" spans="1:3" x14ac:dyDescent="0.25">
      <c r="A6" s="3" t="s">
        <v>10</v>
      </c>
      <c r="B6" t="str">
        <f>getSide(B1)</f>
        <v>Put</v>
      </c>
      <c r="C6" t="str">
        <f>getSide(C1)</f>
        <v>Call</v>
      </c>
    </row>
    <row r="7" spans="1:3" x14ac:dyDescent="0.25">
      <c r="A7" s="3" t="s">
        <v>34</v>
      </c>
      <c r="B7">
        <f>RTD("tos.rtd", , "bid", B1)</f>
        <v>0.03</v>
      </c>
      <c r="C7">
        <f>RTD("tos.rtd", , "bid", C1)</f>
        <v>0.09</v>
      </c>
    </row>
    <row r="8" spans="1:3" x14ac:dyDescent="0.25">
      <c r="A8" s="3" t="s">
        <v>35</v>
      </c>
      <c r="B8">
        <f>RTD("tos.rtd", , "ask", B1)</f>
        <v>0.06</v>
      </c>
      <c r="C8">
        <f>RTD("tos.rtd", , "ask", C1)</f>
        <v>0.11</v>
      </c>
    </row>
    <row r="10" spans="1:3" x14ac:dyDescent="0.25">
      <c r="A10" s="3" t="s">
        <v>7</v>
      </c>
      <c r="B10" s="10">
        <v>3.2290000000000001</v>
      </c>
      <c r="C10" s="10">
        <v>3.2290000000000001</v>
      </c>
    </row>
    <row r="11" spans="1:3" x14ac:dyDescent="0.25">
      <c r="A11" s="3" t="s">
        <v>6</v>
      </c>
      <c r="B11" s="1">
        <f>B10/B3</f>
        <v>8.2642301392301387E-3</v>
      </c>
      <c r="C11" s="1">
        <f>C10/C3</f>
        <v>8.2642301392301387E-3</v>
      </c>
    </row>
    <row r="12" spans="1:3" x14ac:dyDescent="0.25">
      <c r="A12" s="3" t="s">
        <v>31</v>
      </c>
      <c r="B12">
        <f>B3+B10</f>
        <v>393.94900000000001</v>
      </c>
      <c r="C12">
        <f>C3+C10</f>
        <v>393.94900000000001</v>
      </c>
    </row>
    <row r="13" spans="1:3" x14ac:dyDescent="0.25">
      <c r="A13" s="3" t="s">
        <v>32</v>
      </c>
      <c r="B13">
        <f>B3-B10</f>
        <v>387.49100000000004</v>
      </c>
      <c r="C13">
        <f>C3-C10</f>
        <v>387.49100000000004</v>
      </c>
    </row>
    <row r="14" spans="1:3" x14ac:dyDescent="0.25">
      <c r="A14" s="3" t="s">
        <v>9</v>
      </c>
      <c r="B14">
        <f>IF(B6="Call",B4-B3,B3-B4)</f>
        <v>6.7200000000000273</v>
      </c>
      <c r="C14">
        <f>IF(C6="Call",C4-C3,C3-C4)</f>
        <v>3.2799999999999727</v>
      </c>
    </row>
    <row r="15" spans="1:3" x14ac:dyDescent="0.25">
      <c r="A15" s="3" t="s">
        <v>8</v>
      </c>
      <c r="B15" s="1">
        <f>IF(B6="Put",1-(B4/B3),(B4/B3)-1)</f>
        <v>1.7199017199017286E-2</v>
      </c>
      <c r="C15" s="1">
        <f>IF(C6="Put",1-(C4/C3),(C4/C3)-1)</f>
        <v>8.3947583947583393E-3</v>
      </c>
    </row>
    <row r="16" spans="1:3" x14ac:dyDescent="0.25">
      <c r="A16" s="3" t="s">
        <v>33</v>
      </c>
      <c r="B16" s="8">
        <f>B15-B11</f>
        <v>8.934787059787147E-3</v>
      </c>
      <c r="C16" s="8">
        <f>C15-C11</f>
        <v>1.3052825552820058E-4</v>
      </c>
    </row>
    <row r="18" spans="1:3" x14ac:dyDescent="0.25">
      <c r="A18" s="3" t="s">
        <v>1</v>
      </c>
      <c r="B18" s="12" t="e">
        <f ca="1">RTD("tos.rtd",,"DELTA",getShortStrikeTicker(B1))</f>
        <v>#NAME?</v>
      </c>
      <c r="C18" s="12" t="e">
        <f ca="1">RTD("tos.rtd",,"DELTA",getShortStrikeTicker(C1))</f>
        <v>#NAME?</v>
      </c>
    </row>
    <row r="19" spans="1:3" x14ac:dyDescent="0.25">
      <c r="A19" s="3" t="s">
        <v>2</v>
      </c>
      <c r="B19" s="11" t="e">
        <f ca="1">RTD("tos.rtd",,"DELTA",getLongStrikeTicker(B1))</f>
        <v>#NAME?</v>
      </c>
      <c r="C19" s="11" t="e">
        <f ca="1">RTD("tos.rtd",,"DELTA",getLongStrikeTicker(C1))</f>
        <v>#NAME?</v>
      </c>
    </row>
    <row r="20" spans="1:3" x14ac:dyDescent="0.25">
      <c r="A20" s="3" t="s">
        <v>3</v>
      </c>
      <c r="B20">
        <f>RTD("tos.rtd", , "DELTA", B1)</f>
        <v>-0.02</v>
      </c>
      <c r="C20">
        <f>RTD("tos.rtd", , "DELTA", C1)</f>
        <v>0.06</v>
      </c>
    </row>
    <row r="21" spans="1:3" x14ac:dyDescent="0.25">
      <c r="A21" s="3"/>
    </row>
    <row r="22" spans="1:3" x14ac:dyDescent="0.25">
      <c r="A22" s="3" t="s">
        <v>36</v>
      </c>
      <c r="B22">
        <f>B7*100</f>
        <v>3</v>
      </c>
      <c r="C22">
        <f>C7*100</f>
        <v>9</v>
      </c>
    </row>
    <row r="23" spans="1:3" x14ac:dyDescent="0.25">
      <c r="A23" s="3" t="s">
        <v>37</v>
      </c>
      <c r="B23">
        <f>IF(B6="Call",(B4-B5)*100,(B5-B4)*100)</f>
        <v>-100</v>
      </c>
      <c r="C23">
        <f>IF(C6="Call",(C4-C5)*100,(C5-C4)*100)</f>
        <v>-100</v>
      </c>
    </row>
    <row r="24" spans="1:3" x14ac:dyDescent="0.25">
      <c r="A24" s="3" t="s">
        <v>38</v>
      </c>
      <c r="B24" s="7" t="e">
        <f ca="1" xml:space="preserve"> IF(B6 = "Put",(1+B18)*(B22) + (-B19)*(B23),(1-B18)*(B22) + (B19*B23))</f>
        <v>#NAME?</v>
      </c>
      <c r="C24" s="7" t="e">
        <f ca="1" xml:space="preserve"> IF(C6 = "Put",(1+C18)*(C22) + (-C19)*(C23),(1-C18)*(C22) + (C19*C23))</f>
        <v>#NAME?</v>
      </c>
    </row>
    <row r="26" spans="1:3" ht="15.75" x14ac:dyDescent="0.25">
      <c r="A26" s="3" t="s">
        <v>16</v>
      </c>
      <c r="B26">
        <v>15</v>
      </c>
      <c r="C26" s="6">
        <v>15</v>
      </c>
    </row>
    <row r="27" spans="1:3" x14ac:dyDescent="0.25">
      <c r="A27" s="3" t="s">
        <v>43</v>
      </c>
      <c r="B27" s="9" t="e">
        <f ca="1" xml:space="preserve"> IF(B6 = "Put",(1+B18)*(B26) + (-B19)*(B23),(1-B18)*(B26) + (B19*B23))</f>
        <v>#NAME?</v>
      </c>
      <c r="C27" s="9" t="e">
        <f ca="1" xml:space="preserve"> IF(C6 = "Put",(1+C18)*(C26) + (-C19)*(C23),(1-C18)*(C26) + (C19*C23))</f>
        <v>#NAME?</v>
      </c>
    </row>
    <row r="28" spans="1:3" x14ac:dyDescent="0.25">
      <c r="A28" s="3" t="s">
        <v>39</v>
      </c>
      <c r="B28">
        <v>19</v>
      </c>
      <c r="C28">
        <v>23</v>
      </c>
    </row>
    <row r="29" spans="1:3" x14ac:dyDescent="0.25">
      <c r="A29" s="3" t="s">
        <v>40</v>
      </c>
      <c r="B29" t="e">
        <f ca="1">B27*B26</f>
        <v>#NAME?</v>
      </c>
      <c r="C29" t="e">
        <f ca="1">C27*C26</f>
        <v>#NAME?</v>
      </c>
    </row>
    <row r="30" spans="1:3" x14ac:dyDescent="0.25">
      <c r="A30" s="3" t="s">
        <v>41</v>
      </c>
      <c r="B30">
        <f>B26*B28</f>
        <v>285</v>
      </c>
      <c r="C30">
        <f>C26*C28</f>
        <v>345</v>
      </c>
    </row>
    <row r="31" spans="1:3" x14ac:dyDescent="0.25">
      <c r="A31" s="3" t="s">
        <v>42</v>
      </c>
      <c r="B31">
        <f>B28*100</f>
        <v>1900</v>
      </c>
      <c r="C31">
        <f>C28*100</f>
        <v>2300</v>
      </c>
    </row>
    <row r="33" spans="1:3" x14ac:dyDescent="0.25">
      <c r="A33" s="3" t="s">
        <v>45</v>
      </c>
      <c r="B33" s="9">
        <f>(B26-(100*B8))*B28</f>
        <v>171</v>
      </c>
      <c r="C33" s="9">
        <f>(C26-(100*C8))*C28</f>
        <v>92</v>
      </c>
    </row>
    <row r="34" spans="1:3" x14ac:dyDescent="0.25">
      <c r="A34" s="3" t="s">
        <v>44</v>
      </c>
      <c r="B34">
        <f>-(B30*2)</f>
        <v>-570</v>
      </c>
      <c r="C34">
        <f>-(C30*2)</f>
        <v>-690</v>
      </c>
    </row>
    <row r="36" spans="1:3" x14ac:dyDescent="0.25">
      <c r="A36" t="s">
        <v>4</v>
      </c>
    </row>
    <row r="37" spans="1:3" x14ac:dyDescent="0.25">
      <c r="A37" t="s">
        <v>5</v>
      </c>
    </row>
    <row r="39" spans="1:3" x14ac:dyDescent="0.25">
      <c r="A39" s="3"/>
    </row>
    <row r="41" spans="1:3" x14ac:dyDescent="0.25">
      <c r="A41" s="3" t="s">
        <v>13</v>
      </c>
      <c r="B41" t="str">
        <f>getExp(#REF!)</f>
        <v>TypeError: 'NoneType' object is not subscriptable
    return '20'+ticker[4:6]+'-'+ticker[6:8]+'-'+ticker[8:10]
  File "c:\users\art\dropbox\1 - gamma convexity\triplex\Triplex.py", line 55, in getExp
    ret = func(*args)
  File "C:\ProgramData\Anaconda3\lib\site-packages\xlwings\udfs.py", line 298, in call_udf
    res = call_udf(script, fname, args, this_workbook, FromVariant(caller))
  File "C:\ProgramData\Anaconda3\lib\site-packages\xlwings\server.py", line 195, in CallUDF
    return func(*args)
  File "C:\ProgramData\Anaconda3\lib\site-packages\win32com\server\policy.py", line 586, in _invokeex_
    return S_OK, -1, self._invokeex_(dispid, lcid, wFlags, args, None, None)
  File "C:\ProgramData\Anaconda3\lib\site-packages\win32com\server\policy.py", line 283, in _invoke_
    return self._invoke_(dispid, lcid, wFlags, args)
  File "C:\ProgramData\Anaconda3\lib\site-packages\win32com\server\policy.py", line 278, in _Invoke_</v>
      </c>
    </row>
    <row r="42" spans="1:3" x14ac:dyDescent="0.25">
      <c r="A42" s="3" t="s">
        <v>14</v>
      </c>
      <c r="B42" t="str">
        <f>getDTE(B41)</f>
        <v>ValueError: invalid literal for int() with base 10: 'Type'
    exp = date(int(expir[0:4]),int(expir[5:7]),int(expir[8:]))
  File "c:\users\art\dropbox\1 - gamma convexity\triplex\Triplex.py", line 48, in getDTE
    ret = func(*args)
  File "C:\ProgramData\Anaconda3\lib\site-packages\xlwings\udfs.py", line 298, in call_udf
    res = call_udf(script, fname, args, this_workbook, FromVariant(caller))
  File "C:\ProgramData\Anaconda3\lib\site-packages\xlwings\server.py", line 195, in CallUDF
    return func(*args)
  File "C:\ProgramData\Anaconda3\lib\site-packages\win32com\server\policy.py", line 586, in _invokeex_
    return S_OK, -1, self._invokeex_(dispid, lcid, wFlags, args, None, None)
  File "C:\ProgramData\Anaconda3\lib\site-packages\win32com\server\policy.py", line 283, in _invoke_
    return self._invoke_(dispid, lcid, wFlags, args)
  File "C:\ProgramData\Anaconda3\lib\site-packages\win32com\server\policy.py", line 278, in _Invoke_</v>
      </c>
    </row>
    <row r="47" spans="1:3" x14ac:dyDescent="0.25">
      <c r="A47" s="3" t="s">
        <v>17</v>
      </c>
    </row>
    <row r="48" spans="1:3" x14ac:dyDescent="0.25">
      <c r="A48" t="s">
        <v>18</v>
      </c>
    </row>
    <row r="49" spans="1:1" x14ac:dyDescent="0.25">
      <c r="A49" t="s">
        <v>19</v>
      </c>
    </row>
    <row r="50" spans="1:1" x14ac:dyDescent="0.25">
      <c r="A50" t="s">
        <v>20</v>
      </c>
    </row>
    <row r="51" spans="1:1" x14ac:dyDescent="0.25">
      <c r="A51" t="s">
        <v>23</v>
      </c>
    </row>
    <row r="52" spans="1:1" x14ac:dyDescent="0.25">
      <c r="A52" t="s">
        <v>24</v>
      </c>
    </row>
    <row r="53" spans="1:1" x14ac:dyDescent="0.25">
      <c r="A53" t="s">
        <v>25</v>
      </c>
    </row>
    <row r="54" spans="1:1" x14ac:dyDescent="0.25">
      <c r="A54" t="s">
        <v>27</v>
      </c>
    </row>
    <row r="55" spans="1:1" x14ac:dyDescent="0.25">
      <c r="A55" t="s">
        <v>30</v>
      </c>
    </row>
    <row r="57" spans="1:1" x14ac:dyDescent="0.25">
      <c r="A57" s="3" t="s">
        <v>28</v>
      </c>
    </row>
    <row r="58" spans="1:1" x14ac:dyDescent="0.25">
      <c r="A58" s="5" t="s">
        <v>29</v>
      </c>
    </row>
    <row r="61" spans="1:1" x14ac:dyDescent="0.25">
      <c r="A61" s="3" t="s">
        <v>22</v>
      </c>
    </row>
    <row r="62" spans="1:1" x14ac:dyDescent="0.25">
      <c r="A62" t="s">
        <v>21</v>
      </c>
    </row>
    <row r="63" spans="1:1" x14ac:dyDescent="0.25">
      <c r="A63" t="s">
        <v>26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</dc:creator>
  <cp:lastModifiedBy>Art</cp:lastModifiedBy>
  <dcterms:created xsi:type="dcterms:W3CDTF">2021-01-04T17:12:02Z</dcterms:created>
  <dcterms:modified xsi:type="dcterms:W3CDTF">2021-02-19T06:21:22Z</dcterms:modified>
</cp:coreProperties>
</file>